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picWork\workspace\SQL\group-projects\newforce-cohort-12-data-lahmanbaseball-Moonshine-Mythmakers\"/>
    </mc:Choice>
  </mc:AlternateContent>
  <xr:revisionPtr revIDLastSave="0" documentId="13_ncr:1_{C6AF5573-E2C1-4AE8-8B3E-EA48065F1E5D}" xr6:coauthVersionLast="47" xr6:coauthVersionMax="47" xr10:uidLastSave="{00000000-0000-0000-0000-000000000000}"/>
  <bookViews>
    <workbookView xWindow="3795" yWindow="1440" windowWidth="31455" windowHeight="18855" activeTab="2" xr2:uid="{AB43818B-FB59-416D-B76D-2573D52648F0}"/>
  </bookViews>
  <sheets>
    <sheet name="attendance_after_making_playoff" sheetId="2" r:id="rId1"/>
    <sheet name="playoff_appearances_by_team" sheetId="3" r:id="rId2"/>
    <sheet name="yearly_growth_per_team" sheetId="4" r:id="rId3"/>
  </sheets>
  <definedNames>
    <definedName name="ExternalData_1" localSheetId="0" hidden="1">attendance_after_making_playoff!$A$1:$J$280</definedName>
  </definedNames>
  <calcPr calcId="191029"/>
  <pivotCaches>
    <pivotCache cacheId="5" r:id="rId4"/>
    <pivotCache cacheId="1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2" l="1"/>
  <c r="M4" i="2"/>
  <c r="M2" i="2"/>
  <c r="M3" i="2" s="1"/>
  <c r="M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717C07-2166-44A9-9B5B-B82EC43F2964}" keepAlive="1" name="Query - attendance_after_making_playoffs" description="Connection to the 'attendance_after_making_playoffs' query in the workbook." type="5" refreshedVersion="8" background="1" saveData="1">
    <dbPr connection="Provider=Microsoft.Mashup.OleDb.1;Data Source=$Workbook$;Location=attendance_after_making_playoffs;Extended Properties=&quot;&quot;" command="SELECT * FROM [attendance_after_making_playoffs]"/>
  </connection>
</connections>
</file>

<file path=xl/sharedStrings.xml><?xml version="1.0" encoding="utf-8"?>
<sst xmlns="http://schemas.openxmlformats.org/spreadsheetml/2006/main" count="1730" uniqueCount="57">
  <si>
    <t>team</t>
  </si>
  <si>
    <t>win_year</t>
  </si>
  <si>
    <t>divwin</t>
  </si>
  <si>
    <t>wcwin</t>
  </si>
  <si>
    <t>po_win_avg_home_attendance</t>
  </si>
  <si>
    <t>po_next_year</t>
  </si>
  <si>
    <t>divwin-2</t>
  </si>
  <si>
    <t>wcwin-2</t>
  </si>
  <si>
    <t>po_next_year_avg_home_attendance</t>
  </si>
  <si>
    <t>attendance_growth</t>
  </si>
  <si>
    <t>ATL</t>
  </si>
  <si>
    <t>Y</t>
  </si>
  <si>
    <t>NULL</t>
  </si>
  <si>
    <t>N</t>
  </si>
  <si>
    <t>BAL</t>
  </si>
  <si>
    <t>MIN</t>
  </si>
  <si>
    <t>NYN</t>
  </si>
  <si>
    <t>CIN</t>
  </si>
  <si>
    <t>PIT</t>
  </si>
  <si>
    <t>OAK</t>
  </si>
  <si>
    <t>SFN</t>
  </si>
  <si>
    <t>DET</t>
  </si>
  <si>
    <t>LAN</t>
  </si>
  <si>
    <t>BOS</t>
  </si>
  <si>
    <t>KCA</t>
  </si>
  <si>
    <t>NYA</t>
  </si>
  <si>
    <t>PHI</t>
  </si>
  <si>
    <t>CAL</t>
  </si>
  <si>
    <t>HOU</t>
  </si>
  <si>
    <t>ML4</t>
  </si>
  <si>
    <t>MON</t>
  </si>
  <si>
    <t>SLN</t>
  </si>
  <si>
    <t>CHA</t>
  </si>
  <si>
    <t>CHN</t>
  </si>
  <si>
    <t>SDN</t>
  </si>
  <si>
    <t>TOR</t>
  </si>
  <si>
    <t>CLE</t>
  </si>
  <si>
    <t>COL</t>
  </si>
  <si>
    <t>SEA</t>
  </si>
  <si>
    <t>TEX</t>
  </si>
  <si>
    <t>FLO</t>
  </si>
  <si>
    <t>ARI</t>
  </si>
  <si>
    <t>ANA</t>
  </si>
  <si>
    <t>LAA</t>
  </si>
  <si>
    <t>MIL</t>
  </si>
  <si>
    <t>TBA</t>
  </si>
  <si>
    <t>WAS</t>
  </si>
  <si>
    <t>decreasing years:</t>
  </si>
  <si>
    <t>increasing years:</t>
  </si>
  <si>
    <t>% of years with increase:</t>
  </si>
  <si>
    <t>total increase:</t>
  </si>
  <si>
    <t>total decrease:</t>
  </si>
  <si>
    <t>Row Labels</t>
  </si>
  <si>
    <t>(blank)</t>
  </si>
  <si>
    <t>Grand Total</t>
  </si>
  <si>
    <t>Count of team</t>
  </si>
  <si>
    <t>Sum of attendance_growth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</si>
</sst>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picWork" refreshedDate="46070.484764120367" createdVersion="8" refreshedVersion="8" minRefreshableVersion="3" recordCount="280" xr:uid="{40E82A73-5177-4867-BFE6-751E574508AE}">
  <cacheSource type="worksheet">
    <worksheetSource ref="A1:A1048576" sheet="attendance_after_making_playoff"/>
  </cacheSource>
  <cacheFields count="1">
    <cacheField name="team" numFmtId="0">
      <sharedItems containsBlank="1" count="35">
        <s v="ATL"/>
        <s v="BAL"/>
        <s v="MIN"/>
        <s v="NYN"/>
        <s v="CIN"/>
        <s v="PIT"/>
        <s v="OAK"/>
        <s v="SFN"/>
        <s v="DET"/>
        <s v="LAN"/>
        <s v="BOS"/>
        <s v="KCA"/>
        <s v="NYA"/>
        <s v="PHI"/>
        <s v="CAL"/>
        <s v="HOU"/>
        <s v="ML4"/>
        <s v="MON"/>
        <s v="SLN"/>
        <s v="CHA"/>
        <s v="CHN"/>
        <s v="SDN"/>
        <s v="TOR"/>
        <s v="CLE"/>
        <s v="COL"/>
        <s v="SEA"/>
        <s v="TEX"/>
        <s v="FLO"/>
        <s v="ARI"/>
        <s v="ANA"/>
        <s v="LAA"/>
        <s v="MIL"/>
        <s v="TBA"/>
        <s v="WA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picWork" refreshedDate="46070.4938630787" createdVersion="8" refreshedVersion="8" minRefreshableVersion="3" recordCount="280" xr:uid="{52846E57-9E47-4393-81A2-6D875727E9F0}">
  <cacheSource type="worksheet">
    <worksheetSource ref="A1:J1048576" sheet="attendance_after_making_playoff"/>
  </cacheSource>
  <cacheFields count="10">
    <cacheField name="team" numFmtId="0">
      <sharedItems containsBlank="1" count="35">
        <s v="ATL"/>
        <s v="BAL"/>
        <s v="MIN"/>
        <s v="NYN"/>
        <s v="CIN"/>
        <s v="PIT"/>
        <s v="OAK"/>
        <s v="SFN"/>
        <s v="DET"/>
        <s v="LAN"/>
        <s v="BOS"/>
        <s v="KCA"/>
        <s v="NYA"/>
        <s v="PHI"/>
        <s v="CAL"/>
        <s v="HOU"/>
        <s v="ML4"/>
        <s v="MON"/>
        <s v="SLN"/>
        <s v="CHA"/>
        <s v="CHN"/>
        <s v="SDN"/>
        <s v="TOR"/>
        <s v="CLE"/>
        <s v="COL"/>
        <s v="SEA"/>
        <s v="TEX"/>
        <s v="FLO"/>
        <s v="ARI"/>
        <s v="ANA"/>
        <s v="LAA"/>
        <s v="MIL"/>
        <s v="TBA"/>
        <s v="WAS"/>
        <m/>
      </sharedItems>
    </cacheField>
    <cacheField name="win_year" numFmtId="0">
      <sharedItems containsString="0" containsBlank="1" containsNumber="1" containsInteger="1" minValue="1969" maxValue="2015" count="47"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m/>
      </sharedItems>
    </cacheField>
    <cacheField name="divwin" numFmtId="0">
      <sharedItems containsBlank="1"/>
    </cacheField>
    <cacheField name="wcwin" numFmtId="0">
      <sharedItems containsBlank="1"/>
    </cacheField>
    <cacheField name="po_win_avg_home_attendance" numFmtId="0">
      <sharedItems containsString="0" containsBlank="1" containsNumber="1" minValue="10329.16" maxValue="52739.1"/>
    </cacheField>
    <cacheField name="po_next_year" numFmtId="0">
      <sharedItems containsString="0" containsBlank="1" containsNumber="1" containsInteger="1" minValue="1970" maxValue="2016"/>
    </cacheField>
    <cacheField name="divwin-2" numFmtId="0">
      <sharedItems containsBlank="1"/>
    </cacheField>
    <cacheField name="wcwin-2" numFmtId="0">
      <sharedItems containsBlank="1"/>
    </cacheField>
    <cacheField name="po_next_year_avg_home_attendance" numFmtId="0">
      <sharedItems containsString="0" containsBlank="1" containsNumber="1" minValue="8384.1299999999992" maxValue="53069.81"/>
    </cacheField>
    <cacheField name="attendance_growth" numFmtId="0">
      <sharedItems containsString="0" containsBlank="1" containsNumber="1" minValue="-7434.23" maxValue="11701.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0">
  <r>
    <x v="0"/>
  </r>
  <r>
    <x v="1"/>
  </r>
  <r>
    <x v="2"/>
  </r>
  <r>
    <x v="3"/>
  </r>
  <r>
    <x v="1"/>
  </r>
  <r>
    <x v="4"/>
  </r>
  <r>
    <x v="2"/>
  </r>
  <r>
    <x v="5"/>
  </r>
  <r>
    <x v="1"/>
  </r>
  <r>
    <x v="6"/>
  </r>
  <r>
    <x v="5"/>
  </r>
  <r>
    <x v="7"/>
  </r>
  <r>
    <x v="4"/>
  </r>
  <r>
    <x v="8"/>
  </r>
  <r>
    <x v="6"/>
  </r>
  <r>
    <x v="5"/>
  </r>
  <r>
    <x v="1"/>
  </r>
  <r>
    <x v="4"/>
  </r>
  <r>
    <x v="3"/>
  </r>
  <r>
    <x v="6"/>
  </r>
  <r>
    <x v="1"/>
  </r>
  <r>
    <x v="9"/>
  </r>
  <r>
    <x v="6"/>
  </r>
  <r>
    <x v="5"/>
  </r>
  <r>
    <x v="10"/>
  </r>
  <r>
    <x v="4"/>
  </r>
  <r>
    <x v="6"/>
  </r>
  <r>
    <x v="5"/>
  </r>
  <r>
    <x v="4"/>
  </r>
  <r>
    <x v="11"/>
  </r>
  <r>
    <x v="12"/>
  </r>
  <r>
    <x v="13"/>
  </r>
  <r>
    <x v="11"/>
  </r>
  <r>
    <x v="9"/>
  </r>
  <r>
    <x v="12"/>
  </r>
  <r>
    <x v="13"/>
  </r>
  <r>
    <x v="11"/>
  </r>
  <r>
    <x v="9"/>
  </r>
  <r>
    <x v="12"/>
  </r>
  <r>
    <x v="13"/>
  </r>
  <r>
    <x v="1"/>
  </r>
  <r>
    <x v="14"/>
  </r>
  <r>
    <x v="4"/>
  </r>
  <r>
    <x v="5"/>
  </r>
  <r>
    <x v="15"/>
  </r>
  <r>
    <x v="11"/>
  </r>
  <r>
    <x v="12"/>
  </r>
  <r>
    <x v="13"/>
  </r>
  <r>
    <x v="15"/>
  </r>
  <r>
    <x v="11"/>
  </r>
  <r>
    <x v="9"/>
  </r>
  <r>
    <x v="16"/>
  </r>
  <r>
    <x v="17"/>
  </r>
  <r>
    <x v="12"/>
  </r>
  <r>
    <x v="6"/>
  </r>
  <r>
    <x v="13"/>
  </r>
  <r>
    <x v="0"/>
  </r>
  <r>
    <x v="14"/>
  </r>
  <r>
    <x v="16"/>
  </r>
  <r>
    <x v="18"/>
  </r>
  <r>
    <x v="1"/>
  </r>
  <r>
    <x v="19"/>
  </r>
  <r>
    <x v="9"/>
  </r>
  <r>
    <x v="13"/>
  </r>
  <r>
    <x v="20"/>
  </r>
  <r>
    <x v="8"/>
  </r>
  <r>
    <x v="11"/>
  </r>
  <r>
    <x v="21"/>
  </r>
  <r>
    <x v="11"/>
  </r>
  <r>
    <x v="9"/>
  </r>
  <r>
    <x v="18"/>
  </r>
  <r>
    <x v="22"/>
  </r>
  <r>
    <x v="10"/>
  </r>
  <r>
    <x v="14"/>
  </r>
  <r>
    <x v="15"/>
  </r>
  <r>
    <x v="3"/>
  </r>
  <r>
    <x v="8"/>
  </r>
  <r>
    <x v="2"/>
  </r>
  <r>
    <x v="7"/>
  </r>
  <r>
    <x v="18"/>
  </r>
  <r>
    <x v="10"/>
  </r>
  <r>
    <x v="9"/>
  </r>
  <r>
    <x v="3"/>
  </r>
  <r>
    <x v="6"/>
  </r>
  <r>
    <x v="20"/>
  </r>
  <r>
    <x v="6"/>
  </r>
  <r>
    <x v="7"/>
  </r>
  <r>
    <x v="22"/>
  </r>
  <r>
    <x v="10"/>
  </r>
  <r>
    <x v="4"/>
  </r>
  <r>
    <x v="6"/>
  </r>
  <r>
    <x v="5"/>
  </r>
  <r>
    <x v="0"/>
  </r>
  <r>
    <x v="2"/>
  </r>
  <r>
    <x v="5"/>
  </r>
  <r>
    <x v="22"/>
  </r>
  <r>
    <x v="0"/>
  </r>
  <r>
    <x v="6"/>
  </r>
  <r>
    <x v="5"/>
  </r>
  <r>
    <x v="22"/>
  </r>
  <r>
    <x v="0"/>
  </r>
  <r>
    <x v="19"/>
  </r>
  <r>
    <x v="13"/>
  </r>
  <r>
    <x v="22"/>
  </r>
  <r>
    <x v="0"/>
  </r>
  <r>
    <x v="10"/>
  </r>
  <r>
    <x v="4"/>
  </r>
  <r>
    <x v="23"/>
  </r>
  <r>
    <x v="24"/>
  </r>
  <r>
    <x v="9"/>
  </r>
  <r>
    <x v="12"/>
  </r>
  <r>
    <x v="25"/>
  </r>
  <r>
    <x v="0"/>
  </r>
  <r>
    <x v="1"/>
  </r>
  <r>
    <x v="23"/>
  </r>
  <r>
    <x v="9"/>
  </r>
  <r>
    <x v="12"/>
  </r>
  <r>
    <x v="21"/>
  </r>
  <r>
    <x v="18"/>
  </r>
  <r>
    <x v="26"/>
  </r>
  <r>
    <x v="0"/>
  </r>
  <r>
    <x v="1"/>
  </r>
  <r>
    <x v="23"/>
  </r>
  <r>
    <x v="27"/>
  </r>
  <r>
    <x v="15"/>
  </r>
  <r>
    <x v="12"/>
  </r>
  <r>
    <x v="25"/>
  </r>
  <r>
    <x v="7"/>
  </r>
  <r>
    <x v="0"/>
  </r>
  <r>
    <x v="10"/>
  </r>
  <r>
    <x v="20"/>
  </r>
  <r>
    <x v="23"/>
  </r>
  <r>
    <x v="15"/>
  </r>
  <r>
    <x v="12"/>
  </r>
  <r>
    <x v="21"/>
  </r>
  <r>
    <x v="26"/>
  </r>
  <r>
    <x v="28"/>
  </r>
  <r>
    <x v="0"/>
  </r>
  <r>
    <x v="10"/>
  </r>
  <r>
    <x v="23"/>
  </r>
  <r>
    <x v="15"/>
  </r>
  <r>
    <x v="12"/>
  </r>
  <r>
    <x v="3"/>
  </r>
  <r>
    <x v="26"/>
  </r>
  <r>
    <x v="0"/>
  </r>
  <r>
    <x v="19"/>
  </r>
  <r>
    <x v="12"/>
  </r>
  <r>
    <x v="3"/>
  </r>
  <r>
    <x v="6"/>
  </r>
  <r>
    <x v="25"/>
  </r>
  <r>
    <x v="7"/>
  </r>
  <r>
    <x v="18"/>
  </r>
  <r>
    <x v="28"/>
  </r>
  <r>
    <x v="0"/>
  </r>
  <r>
    <x v="23"/>
  </r>
  <r>
    <x v="15"/>
  </r>
  <r>
    <x v="12"/>
  </r>
  <r>
    <x v="6"/>
  </r>
  <r>
    <x v="25"/>
  </r>
  <r>
    <x v="18"/>
  </r>
  <r>
    <x v="29"/>
  </r>
  <r>
    <x v="28"/>
  </r>
  <r>
    <x v="0"/>
  </r>
  <r>
    <x v="2"/>
  </r>
  <r>
    <x v="12"/>
  </r>
  <r>
    <x v="6"/>
  </r>
  <r>
    <x v="7"/>
  </r>
  <r>
    <x v="18"/>
  </r>
  <r>
    <x v="0"/>
  </r>
  <r>
    <x v="10"/>
  </r>
  <r>
    <x v="20"/>
  </r>
  <r>
    <x v="27"/>
  </r>
  <r>
    <x v="2"/>
  </r>
  <r>
    <x v="12"/>
  </r>
  <r>
    <x v="6"/>
  </r>
  <r>
    <x v="7"/>
  </r>
  <r>
    <x v="0"/>
  </r>
  <r>
    <x v="10"/>
  </r>
  <r>
    <x v="15"/>
  </r>
  <r>
    <x v="9"/>
  </r>
  <r>
    <x v="2"/>
  </r>
  <r>
    <x v="12"/>
  </r>
  <r>
    <x v="18"/>
  </r>
  <r>
    <x v="0"/>
  </r>
  <r>
    <x v="10"/>
  </r>
  <r>
    <x v="19"/>
  </r>
  <r>
    <x v="15"/>
  </r>
  <r>
    <x v="30"/>
  </r>
  <r>
    <x v="12"/>
  </r>
  <r>
    <x v="21"/>
  </r>
  <r>
    <x v="18"/>
  </r>
  <r>
    <x v="8"/>
  </r>
  <r>
    <x v="9"/>
  </r>
  <r>
    <x v="2"/>
  </r>
  <r>
    <x v="12"/>
  </r>
  <r>
    <x v="3"/>
  </r>
  <r>
    <x v="6"/>
  </r>
  <r>
    <x v="21"/>
  </r>
  <r>
    <x v="18"/>
  </r>
  <r>
    <x v="28"/>
  </r>
  <r>
    <x v="10"/>
  </r>
  <r>
    <x v="20"/>
  </r>
  <r>
    <x v="23"/>
  </r>
  <r>
    <x v="24"/>
  </r>
  <r>
    <x v="30"/>
  </r>
  <r>
    <x v="12"/>
  </r>
  <r>
    <x v="13"/>
  </r>
  <r>
    <x v="10"/>
  </r>
  <r>
    <x v="19"/>
  </r>
  <r>
    <x v="20"/>
  </r>
  <r>
    <x v="30"/>
  </r>
  <r>
    <x v="9"/>
  </r>
  <r>
    <x v="31"/>
  </r>
  <r>
    <x v="13"/>
  </r>
  <r>
    <x v="32"/>
  </r>
  <r>
    <x v="10"/>
  </r>
  <r>
    <x v="24"/>
  </r>
  <r>
    <x v="30"/>
  </r>
  <r>
    <x v="9"/>
  </r>
  <r>
    <x v="2"/>
  </r>
  <r>
    <x v="12"/>
  </r>
  <r>
    <x v="13"/>
  </r>
  <r>
    <x v="18"/>
  </r>
  <r>
    <x v="0"/>
  </r>
  <r>
    <x v="4"/>
  </r>
  <r>
    <x v="2"/>
  </r>
  <r>
    <x v="12"/>
  </r>
  <r>
    <x v="13"/>
  </r>
  <r>
    <x v="7"/>
  </r>
  <r>
    <x v="32"/>
  </r>
  <r>
    <x v="26"/>
  </r>
  <r>
    <x v="28"/>
  </r>
  <r>
    <x v="8"/>
  </r>
  <r>
    <x v="31"/>
  </r>
  <r>
    <x v="12"/>
  </r>
  <r>
    <x v="13"/>
  </r>
  <r>
    <x v="18"/>
  </r>
  <r>
    <x v="32"/>
  </r>
  <r>
    <x v="26"/>
  </r>
  <r>
    <x v="0"/>
  </r>
  <r>
    <x v="1"/>
  </r>
  <r>
    <x v="4"/>
  </r>
  <r>
    <x v="8"/>
  </r>
  <r>
    <x v="12"/>
  </r>
  <r>
    <x v="6"/>
  </r>
  <r>
    <x v="7"/>
  </r>
  <r>
    <x v="18"/>
  </r>
  <r>
    <x v="26"/>
  </r>
  <r>
    <x v="33"/>
  </r>
  <r>
    <x v="0"/>
  </r>
  <r>
    <x v="10"/>
  </r>
  <r>
    <x v="4"/>
  </r>
  <r>
    <x v="23"/>
  </r>
  <r>
    <x v="8"/>
  </r>
  <r>
    <x v="9"/>
  </r>
  <r>
    <x v="6"/>
  </r>
  <r>
    <x v="5"/>
  </r>
  <r>
    <x v="18"/>
  </r>
  <r>
    <x v="32"/>
  </r>
  <r>
    <x v="1"/>
  </r>
  <r>
    <x v="8"/>
  </r>
  <r>
    <x v="11"/>
  </r>
  <r>
    <x v="30"/>
  </r>
  <r>
    <x v="9"/>
  </r>
  <r>
    <x v="6"/>
  </r>
  <r>
    <x v="5"/>
  </r>
  <r>
    <x v="7"/>
  </r>
  <r>
    <x v="18"/>
  </r>
  <r>
    <x v="33"/>
  </r>
  <r>
    <x v="20"/>
  </r>
  <r>
    <x v="15"/>
  </r>
  <r>
    <x v="11"/>
  </r>
  <r>
    <x v="9"/>
  </r>
  <r>
    <x v="12"/>
  </r>
  <r>
    <x v="3"/>
  </r>
  <r>
    <x v="5"/>
  </r>
  <r>
    <x v="18"/>
  </r>
  <r>
    <x v="26"/>
  </r>
  <r>
    <x v="22"/>
  </r>
  <r>
    <x v="3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0">
  <r>
    <x v="0"/>
    <x v="0"/>
    <s v="Y"/>
    <s v="NULL"/>
    <n v="18531.439999999999"/>
    <n v="1970"/>
    <s v="N"/>
    <s v="NULL"/>
    <n v="13318.52"/>
    <n v="-5212.92"/>
  </r>
  <r>
    <x v="1"/>
    <x v="0"/>
    <s v="Y"/>
    <s v="NULL"/>
    <n v="12498.37"/>
    <n v="1970"/>
    <s v="Y"/>
    <s v="NULL"/>
    <n v="12690.17"/>
    <n v="191.8"/>
  </r>
  <r>
    <x v="2"/>
    <x v="0"/>
    <s v="Y"/>
    <s v="NULL"/>
    <n v="16288.73"/>
    <n v="1970"/>
    <s v="Y"/>
    <s v="NULL"/>
    <n v="15446.15"/>
    <n v="-842.58"/>
  </r>
  <r>
    <x v="3"/>
    <x v="0"/>
    <s v="Y"/>
    <s v="NULL"/>
    <n v="26732.82"/>
    <n v="1970"/>
    <s v="N"/>
    <s v="NULL"/>
    <n v="32895.800000000003"/>
    <n v="6162.98"/>
  </r>
  <r>
    <x v="1"/>
    <x v="1"/>
    <s v="Y"/>
    <s v="NULL"/>
    <n v="12690.17"/>
    <n v="1971"/>
    <s v="Y"/>
    <s v="NULL"/>
    <n v="13416.04"/>
    <n v="725.87"/>
  </r>
  <r>
    <x v="4"/>
    <x v="1"/>
    <s v="Y"/>
    <s v="NULL"/>
    <n v="22373.21"/>
    <n v="1971"/>
    <s v="N"/>
    <s v="NULL"/>
    <n v="18532.41"/>
    <n v="-3840.8"/>
  </r>
  <r>
    <x v="2"/>
    <x v="1"/>
    <s v="Y"/>
    <s v="NULL"/>
    <n v="15446.15"/>
    <n v="1971"/>
    <s v="N"/>
    <s v="NULL"/>
    <n v="11909.47"/>
    <n v="-3536.68"/>
  </r>
  <r>
    <x v="5"/>
    <x v="1"/>
    <s v="Y"/>
    <s v="NULL"/>
    <n v="16365.94"/>
    <n v="1971"/>
    <s v="Y"/>
    <s v="NULL"/>
    <n v="19254.599999999999"/>
    <n v="2888.66"/>
  </r>
  <r>
    <x v="1"/>
    <x v="2"/>
    <s v="Y"/>
    <s v="NULL"/>
    <n v="13416.04"/>
    <n v="1972"/>
    <s v="N"/>
    <s v="NULL"/>
    <n v="12003.18"/>
    <n v="-1412.86"/>
  </r>
  <r>
    <x v="6"/>
    <x v="2"/>
    <s v="Y"/>
    <s v="NULL"/>
    <n v="11207.84"/>
    <n v="1972"/>
    <s v="Y"/>
    <s v="NULL"/>
    <n v="12046.03"/>
    <n v="838.19"/>
  </r>
  <r>
    <x v="5"/>
    <x v="2"/>
    <s v="Y"/>
    <s v="NULL"/>
    <n v="19254.599999999999"/>
    <n v="1972"/>
    <s v="Y"/>
    <s v="NULL"/>
    <n v="19499.599999999999"/>
    <n v="245"/>
  </r>
  <r>
    <x v="7"/>
    <x v="2"/>
    <s v="Y"/>
    <s v="NULL"/>
    <n v="13825.11"/>
    <n v="1972"/>
    <s v="N"/>
    <s v="NULL"/>
    <n v="8384.1299999999992"/>
    <n v="-5440.98"/>
  </r>
  <r>
    <x v="4"/>
    <x v="3"/>
    <s v="Y"/>
    <s v="NULL"/>
    <n v="21422.07"/>
    <n v="1973"/>
    <s v="Y"/>
    <s v="NULL"/>
    <n v="24911.37"/>
    <n v="3489.3"/>
  </r>
  <r>
    <x v="8"/>
    <x v="3"/>
    <s v="Y"/>
    <s v="NULL"/>
    <n v="24856.29"/>
    <n v="1973"/>
    <s v="N"/>
    <s v="NULL"/>
    <n v="21285.75"/>
    <n v="-3570.54"/>
  </r>
  <r>
    <x v="6"/>
    <x v="3"/>
    <s v="Y"/>
    <s v="NULL"/>
    <n v="12046.03"/>
    <n v="1973"/>
    <s v="Y"/>
    <s v="NULL"/>
    <n v="12346.23"/>
    <n v="300.2"/>
  </r>
  <r>
    <x v="5"/>
    <x v="3"/>
    <s v="Y"/>
    <s v="NULL"/>
    <n v="19499.599999999999"/>
    <n v="1973"/>
    <s v="N"/>
    <s v="NULL"/>
    <n v="16278.49"/>
    <n v="-3221.11"/>
  </r>
  <r>
    <x v="1"/>
    <x v="4"/>
    <s v="Y"/>
    <s v="NULL"/>
    <n v="11855.64"/>
    <n v="1974"/>
    <s v="Y"/>
    <s v="NULL"/>
    <n v="11884.2"/>
    <n v="28.56"/>
  </r>
  <r>
    <x v="4"/>
    <x v="4"/>
    <s v="Y"/>
    <s v="NULL"/>
    <n v="24911.37"/>
    <n v="1974"/>
    <s v="N"/>
    <s v="NULL"/>
    <n v="26027.439999999999"/>
    <n v="1116.07"/>
  </r>
  <r>
    <x v="3"/>
    <x v="4"/>
    <s v="Y"/>
    <s v="NULL"/>
    <n v="23638.21"/>
    <n v="1974"/>
    <s v="N"/>
    <s v="NULL"/>
    <n v="21325.040000000001"/>
    <n v="-2313.17"/>
  </r>
  <r>
    <x v="6"/>
    <x v="4"/>
    <s v="Y"/>
    <s v="NULL"/>
    <n v="12346.23"/>
    <n v="1974"/>
    <s v="Y"/>
    <s v="NULL"/>
    <n v="10329.16"/>
    <n v="-2017.07"/>
  </r>
  <r>
    <x v="1"/>
    <x v="5"/>
    <s v="Y"/>
    <s v="NULL"/>
    <n v="11884.2"/>
    <n v="1975"/>
    <s v="N"/>
    <s v="NULL"/>
    <n v="13014.61"/>
    <n v="1130.4100000000001"/>
  </r>
  <r>
    <x v="9"/>
    <x v="5"/>
    <s v="Y"/>
    <s v="NULL"/>
    <n v="32462.639999999999"/>
    <n v="1975"/>
    <s v="N"/>
    <s v="NULL"/>
    <n v="31507.439999999999"/>
    <n v="-955.2"/>
  </r>
  <r>
    <x v="6"/>
    <x v="5"/>
    <s v="Y"/>
    <s v="NULL"/>
    <n v="10329.16"/>
    <n v="1975"/>
    <s v="Y"/>
    <s v="NULL"/>
    <n v="13303.67"/>
    <n v="2974.51"/>
  </r>
  <r>
    <x v="5"/>
    <x v="5"/>
    <s v="Y"/>
    <s v="NULL"/>
    <n v="13712.8"/>
    <n v="1975"/>
    <s v="Y"/>
    <s v="NULL"/>
    <n v="15875.16"/>
    <n v="2162.36"/>
  </r>
  <r>
    <x v="10"/>
    <x v="6"/>
    <s v="Y"/>
    <s v="NULL"/>
    <n v="21586.639999999999"/>
    <n v="1976"/>
    <s v="N"/>
    <s v="NULL"/>
    <n v="23405.99"/>
    <n v="1819.35"/>
  </r>
  <r>
    <x v="4"/>
    <x v="6"/>
    <s v="Y"/>
    <s v="NULL"/>
    <n v="28587.69"/>
    <n v="1976"/>
    <s v="Y"/>
    <s v="NULL"/>
    <n v="32465.53"/>
    <n v="3877.84"/>
  </r>
  <r>
    <x v="6"/>
    <x v="6"/>
    <s v="Y"/>
    <s v="NULL"/>
    <n v="13303.67"/>
    <n v="1976"/>
    <s v="N"/>
    <s v="NULL"/>
    <n v="9641.2999999999993"/>
    <n v="-3662.37"/>
  </r>
  <r>
    <x v="5"/>
    <x v="6"/>
    <s v="Y"/>
    <s v="NULL"/>
    <n v="15875.16"/>
    <n v="1976"/>
    <s v="N"/>
    <s v="NULL"/>
    <n v="12666.07"/>
    <n v="-3209.09"/>
  </r>
  <r>
    <x v="4"/>
    <x v="7"/>
    <s v="Y"/>
    <s v="NULL"/>
    <n v="32465.53"/>
    <n v="1977"/>
    <s v="N"/>
    <s v="NULL"/>
    <n v="31185.57"/>
    <n v="-1279.96"/>
  </r>
  <r>
    <x v="11"/>
    <x v="7"/>
    <s v="Y"/>
    <s v="NULL"/>
    <n v="20730.37"/>
    <n v="1977"/>
    <s v="Y"/>
    <s v="NULL"/>
    <n v="23328.07"/>
    <n v="2597.6999999999998"/>
  </r>
  <r>
    <x v="12"/>
    <x v="7"/>
    <s v="Y"/>
    <s v="NULL"/>
    <n v="25224.15"/>
    <n v="1977"/>
    <s v="Y"/>
    <s v="NULL"/>
    <n v="28592.880000000001"/>
    <n v="3368.73"/>
  </r>
  <r>
    <x v="13"/>
    <x v="7"/>
    <s v="Y"/>
    <s v="NULL"/>
    <n v="30617.48"/>
    <n v="1977"/>
    <s v="Y"/>
    <s v="NULL"/>
    <n v="33330.25"/>
    <n v="2712.77"/>
  </r>
  <r>
    <x v="11"/>
    <x v="8"/>
    <s v="Y"/>
    <s v="NULL"/>
    <n v="23328.07"/>
    <n v="1978"/>
    <s v="Y"/>
    <s v="NULL"/>
    <n v="27845.59"/>
    <n v="4517.5200000000004"/>
  </r>
  <r>
    <x v="9"/>
    <x v="8"/>
    <s v="Y"/>
    <s v="NULL"/>
    <n v="36359.1"/>
    <n v="1978"/>
    <s v="Y"/>
    <s v="NULL"/>
    <n v="41330.9"/>
    <n v="4971.8"/>
  </r>
  <r>
    <x v="12"/>
    <x v="8"/>
    <s v="Y"/>
    <s v="NULL"/>
    <n v="28592.880000000001"/>
    <n v="1978"/>
    <s v="Y"/>
    <s v="NULL"/>
    <n v="29930.85"/>
    <n v="1337.97"/>
  </r>
  <r>
    <x v="13"/>
    <x v="8"/>
    <s v="Y"/>
    <s v="NULL"/>
    <n v="33330.25"/>
    <n v="1978"/>
    <s v="Y"/>
    <s v="NULL"/>
    <n v="31492.79"/>
    <n v="-1837.46"/>
  </r>
  <r>
    <x v="11"/>
    <x v="9"/>
    <s v="Y"/>
    <s v="NULL"/>
    <n v="27845.59"/>
    <n v="1979"/>
    <s v="N"/>
    <s v="NULL"/>
    <n v="27924.01"/>
    <n v="78.42"/>
  </r>
  <r>
    <x v="9"/>
    <x v="9"/>
    <s v="Y"/>
    <s v="NULL"/>
    <n v="41330.9"/>
    <n v="1979"/>
    <s v="N"/>
    <s v="NULL"/>
    <n v="35320.42"/>
    <n v="-6010.48"/>
  </r>
  <r>
    <x v="12"/>
    <x v="9"/>
    <s v="Y"/>
    <s v="NULL"/>
    <n v="29930.85"/>
    <n v="1979"/>
    <s v="N"/>
    <s v="NULL"/>
    <n v="31405.53"/>
    <n v="1474.68"/>
  </r>
  <r>
    <x v="13"/>
    <x v="9"/>
    <s v="Y"/>
    <s v="NULL"/>
    <n v="31492.79"/>
    <n v="1979"/>
    <s v="N"/>
    <s v="NULL"/>
    <n v="34257.4"/>
    <n v="2764.61"/>
  </r>
  <r>
    <x v="1"/>
    <x v="10"/>
    <s v="Y"/>
    <s v="NULL"/>
    <n v="21271.23"/>
    <n v="1980"/>
    <s v="N"/>
    <s v="NULL"/>
    <n v="22284.2"/>
    <n v="1012.97"/>
  </r>
  <r>
    <x v="14"/>
    <x v="10"/>
    <s v="Y"/>
    <s v="NULL"/>
    <n v="31155.25"/>
    <n v="1980"/>
    <s v="N"/>
    <s v="NULL"/>
    <n v="28362.06"/>
    <n v="-2793.19"/>
  </r>
  <r>
    <x v="4"/>
    <x v="10"/>
    <s v="Y"/>
    <s v="NULL"/>
    <n v="29461.66"/>
    <n v="1980"/>
    <s v="N"/>
    <s v="NULL"/>
    <n v="24775.56"/>
    <n v="-4686.1000000000004"/>
  </r>
  <r>
    <x v="5"/>
    <x v="10"/>
    <s v="Y"/>
    <s v="NULL"/>
    <n v="17721.32"/>
    <n v="1980"/>
    <s v="N"/>
    <s v="NULL"/>
    <n v="20268.599999999999"/>
    <n v="2547.2800000000002"/>
  </r>
  <r>
    <x v="15"/>
    <x v="11"/>
    <s v="Y"/>
    <s v="NULL"/>
    <n v="28494.959999999999"/>
    <n v="1981"/>
    <s v="Y"/>
    <s v="NULL"/>
    <n v="25906.31"/>
    <n v="-2588.65"/>
  </r>
  <r>
    <x v="11"/>
    <x v="11"/>
    <s v="Y"/>
    <s v="NULL"/>
    <n v="28272.3"/>
    <n v="1981"/>
    <s v="Y"/>
    <s v="NULL"/>
    <n v="27222.13"/>
    <n v="-1050.17"/>
  </r>
  <r>
    <x v="12"/>
    <x v="11"/>
    <s v="Y"/>
    <s v="NULL"/>
    <n v="32437.25"/>
    <n v="1981"/>
    <s v="Y"/>
    <s v="NULL"/>
    <n v="31656.51"/>
    <n v="-780.74"/>
  </r>
  <r>
    <x v="13"/>
    <x v="11"/>
    <s v="Y"/>
    <s v="NULL"/>
    <n v="32826.629999999997"/>
    <n v="1981"/>
    <s v="Y"/>
    <s v="NULL"/>
    <n v="29798.44"/>
    <n v="-3028.19"/>
  </r>
  <r>
    <x v="15"/>
    <x v="12"/>
    <s v="Y"/>
    <s v="NULL"/>
    <n v="25906.31"/>
    <n v="1982"/>
    <s v="N"/>
    <s v="NULL"/>
    <n v="19264.150000000001"/>
    <n v="-6642.16"/>
  </r>
  <r>
    <x v="11"/>
    <x v="12"/>
    <s v="Y"/>
    <s v="NULL"/>
    <n v="27222.13"/>
    <n v="1982"/>
    <s v="N"/>
    <s v="NULL"/>
    <n v="28141.53"/>
    <n v="919.4"/>
  </r>
  <r>
    <x v="9"/>
    <x v="12"/>
    <s v="Y"/>
    <s v="NULL"/>
    <n v="42546.05"/>
    <n v="1982"/>
    <s v="N"/>
    <s v="NULL"/>
    <n v="44554.09"/>
    <n v="2008.04"/>
  </r>
  <r>
    <x v="16"/>
    <x v="12"/>
    <s v="Y"/>
    <s v="NULL"/>
    <n v="17928.2"/>
    <n v="1982"/>
    <s v="Y"/>
    <s v="NULL"/>
    <n v="24131.89"/>
    <n v="6203.69"/>
  </r>
  <r>
    <x v="17"/>
    <x v="12"/>
    <s v="Y"/>
    <s v="NULL"/>
    <n v="27404.7"/>
    <n v="1982"/>
    <s v="N"/>
    <s v="NULL"/>
    <n v="28639.41"/>
    <n v="1234.71"/>
  </r>
  <r>
    <x v="12"/>
    <x v="12"/>
    <s v="Y"/>
    <s v="NULL"/>
    <n v="31656.51"/>
    <n v="1982"/>
    <s v="N"/>
    <s v="NULL"/>
    <n v="25200.23"/>
    <n v="-6456.28"/>
  </r>
  <r>
    <x v="6"/>
    <x v="12"/>
    <s v="Y"/>
    <s v="NULL"/>
    <n v="23180.45"/>
    <n v="1982"/>
    <s v="N"/>
    <s v="NULL"/>
    <n v="21464.91"/>
    <n v="-1715.54"/>
  </r>
  <r>
    <x v="13"/>
    <x v="12"/>
    <s v="Y"/>
    <s v="NULL"/>
    <n v="29798.44"/>
    <n v="1982"/>
    <s v="N"/>
    <s v="NULL"/>
    <n v="29317.42"/>
    <n v="-481.02"/>
  </r>
  <r>
    <x v="0"/>
    <x v="13"/>
    <s v="Y"/>
    <s v="NULL"/>
    <n v="22226.86"/>
    <n v="1983"/>
    <s v="N"/>
    <s v="NULL"/>
    <n v="26459.25"/>
    <n v="4232.3900000000003"/>
  </r>
  <r>
    <x v="14"/>
    <x v="13"/>
    <s v="Y"/>
    <s v="NULL"/>
    <n v="34658.769999999997"/>
    <n v="1983"/>
    <s v="N"/>
    <s v="NULL"/>
    <n v="31547.85"/>
    <n v="-3110.92"/>
  </r>
  <r>
    <x v="16"/>
    <x v="13"/>
    <s v="Y"/>
    <s v="NULL"/>
    <n v="24131.89"/>
    <n v="1983"/>
    <s v="N"/>
    <s v="NULL"/>
    <n v="27984.26"/>
    <n v="3852.37"/>
  </r>
  <r>
    <x v="18"/>
    <x v="13"/>
    <s v="Y"/>
    <s v="NULL"/>
    <n v="26073.11"/>
    <n v="1983"/>
    <s v="N"/>
    <s v="NULL"/>
    <n v="28934.19"/>
    <n v="2861.08"/>
  </r>
  <r>
    <x v="1"/>
    <x v="14"/>
    <s v="Y"/>
    <s v="NULL"/>
    <n v="25140.7"/>
    <n v="1984"/>
    <s v="N"/>
    <s v="NULL"/>
    <n v="25150.69"/>
    <n v="9.99"/>
  </r>
  <r>
    <x v="19"/>
    <x v="14"/>
    <s v="Y"/>
    <s v="NULL"/>
    <n v="26331.02"/>
    <n v="1984"/>
    <s v="N"/>
    <s v="NULL"/>
    <n v="26368.23"/>
    <n v="37.21"/>
  </r>
  <r>
    <x v="9"/>
    <x v="14"/>
    <s v="Y"/>
    <s v="NULL"/>
    <n v="43866.41"/>
    <n v="1984"/>
    <s v="N"/>
    <s v="NULL"/>
    <n v="38701.53"/>
    <n v="-5164.88"/>
  </r>
  <r>
    <x v="13"/>
    <x v="14"/>
    <s v="Y"/>
    <s v="NULL"/>
    <n v="25955.43"/>
    <n v="1984"/>
    <s v="N"/>
    <s v="NULL"/>
    <n v="25468.720000000001"/>
    <n v="-486.71"/>
  </r>
  <r>
    <x v="20"/>
    <x v="15"/>
    <s v="Y"/>
    <s v="NULL"/>
    <n v="26350.69"/>
    <n v="1985"/>
    <s v="N"/>
    <s v="NULL"/>
    <n v="26685.599999999999"/>
    <n v="334.91"/>
  </r>
  <r>
    <x v="8"/>
    <x v="15"/>
    <s v="Y"/>
    <s v="NULL"/>
    <n v="32985.29"/>
    <n v="1985"/>
    <s v="N"/>
    <s v="NULL"/>
    <n v="28229.75"/>
    <n v="-4755.54"/>
  </r>
  <r>
    <x v="11"/>
    <x v="15"/>
    <s v="Y"/>
    <s v="NULL"/>
    <n v="22345.9"/>
    <n v="1985"/>
    <s v="Y"/>
    <s v="NULL"/>
    <n v="26374.57"/>
    <n v="4028.67"/>
  </r>
  <r>
    <x v="21"/>
    <x v="15"/>
    <s v="Y"/>
    <s v="NULL"/>
    <n v="24505.59"/>
    <n v="1985"/>
    <s v="N"/>
    <s v="NULL"/>
    <n v="27288.3"/>
    <n v="2782.71"/>
  </r>
  <r>
    <x v="11"/>
    <x v="16"/>
    <s v="Y"/>
    <s v="NULL"/>
    <n v="26374.57"/>
    <n v="1986"/>
    <s v="N"/>
    <s v="NULL"/>
    <n v="28651.41"/>
    <n v="2276.84"/>
  </r>
  <r>
    <x v="9"/>
    <x v="16"/>
    <s v="Y"/>
    <s v="NULL"/>
    <n v="40304.730000000003"/>
    <n v="1986"/>
    <s v="N"/>
    <s v="NULL"/>
    <n v="37447.01"/>
    <n v="-2857.72"/>
  </r>
  <r>
    <x v="18"/>
    <x v="16"/>
    <s v="Y"/>
    <s v="NULL"/>
    <n v="32857.589999999997"/>
    <n v="1986"/>
    <s v="N"/>
    <s v="NULL"/>
    <n v="30841.26"/>
    <n v="-2016.33"/>
  </r>
  <r>
    <x v="22"/>
    <x v="16"/>
    <s v="Y"/>
    <s v="NULL"/>
    <n v="30861.56"/>
    <n v="1986"/>
    <s v="N"/>
    <s v="NULL"/>
    <n v="30314.53"/>
    <n v="-547.03"/>
  </r>
  <r>
    <x v="10"/>
    <x v="17"/>
    <s v="Y"/>
    <s v="NULL"/>
    <n v="26502.400000000001"/>
    <n v="1987"/>
    <s v="N"/>
    <s v="NULL"/>
    <n v="27895.61"/>
    <n v="1393.21"/>
  </r>
  <r>
    <x v="14"/>
    <x v="17"/>
    <s v="Y"/>
    <s v="NULL"/>
    <n v="32383.65"/>
    <n v="1987"/>
    <s v="N"/>
    <s v="NULL"/>
    <n v="33286.519999999997"/>
    <n v="902.87"/>
  </r>
  <r>
    <x v="15"/>
    <x v="17"/>
    <s v="Y"/>
    <s v="NULL"/>
    <n v="21410.69"/>
    <n v="1987"/>
    <s v="N"/>
    <s v="NULL"/>
    <n v="23716.01"/>
    <n v="2305.3200000000002"/>
  </r>
  <r>
    <x v="3"/>
    <x v="17"/>
    <s v="Y"/>
    <s v="NULL"/>
    <n v="34103.910000000003"/>
    <n v="1987"/>
    <s v="N"/>
    <s v="NULL"/>
    <n v="37371.86"/>
    <n v="3267.95"/>
  </r>
  <r>
    <x v="8"/>
    <x v="18"/>
    <s v="Y"/>
    <s v="NULL"/>
    <n v="25454.69"/>
    <n v="1988"/>
    <s v="N"/>
    <s v="NULL"/>
    <n v="25692.62"/>
    <n v="237.93"/>
  </r>
  <r>
    <x v="2"/>
    <x v="18"/>
    <s v="Y"/>
    <s v="NULL"/>
    <n v="25706.21"/>
    <n v="1988"/>
    <s v="N"/>
    <s v="NULL"/>
    <n v="37407.4"/>
    <n v="11701.19"/>
  </r>
  <r>
    <x v="7"/>
    <x v="18"/>
    <s v="Y"/>
    <s v="NULL"/>
    <n v="23677.32"/>
    <n v="1988"/>
    <s v="N"/>
    <s v="NULL"/>
    <n v="22055.33"/>
    <n v="-1621.99"/>
  </r>
  <r>
    <x v="18"/>
    <x v="18"/>
    <s v="Y"/>
    <s v="NULL"/>
    <n v="37939.89"/>
    <n v="1988"/>
    <s v="N"/>
    <s v="NULL"/>
    <n v="35704.800000000003"/>
    <n v="-2235.09"/>
  </r>
  <r>
    <x v="10"/>
    <x v="19"/>
    <s v="Y"/>
    <s v="NULL"/>
    <n v="30411.59"/>
    <n v="1989"/>
    <s v="N"/>
    <s v="NULL"/>
    <n v="31013.200000000001"/>
    <n v="601.61"/>
  </r>
  <r>
    <x v="9"/>
    <x v="19"/>
    <s v="Y"/>
    <s v="NULL"/>
    <n v="36793.360000000001"/>
    <n v="1989"/>
    <s v="N"/>
    <s v="NULL"/>
    <n v="36343.620000000003"/>
    <n v="-449.74"/>
  </r>
  <r>
    <x v="3"/>
    <x v="19"/>
    <s v="Y"/>
    <s v="NULL"/>
    <n v="38106.629999999997"/>
    <n v="1989"/>
    <s v="N"/>
    <s v="NULL"/>
    <n v="36011.85"/>
    <n v="-2094.7800000000002"/>
  </r>
  <r>
    <x v="6"/>
    <x v="19"/>
    <s v="Y"/>
    <s v="NULL"/>
    <n v="28240.07"/>
    <n v="1989"/>
    <s v="Y"/>
    <s v="NULL"/>
    <n v="32983.22"/>
    <n v="4743.1499999999996"/>
  </r>
  <r>
    <x v="20"/>
    <x v="20"/>
    <s v="Y"/>
    <s v="NULL"/>
    <n v="30764.59"/>
    <n v="1990"/>
    <s v="N"/>
    <s v="NULL"/>
    <n v="27696.22"/>
    <n v="-3068.37"/>
  </r>
  <r>
    <x v="6"/>
    <x v="20"/>
    <s v="Y"/>
    <s v="NULL"/>
    <n v="32983.22"/>
    <n v="1990"/>
    <s v="Y"/>
    <s v="NULL"/>
    <n v="35842.01"/>
    <n v="2858.79"/>
  </r>
  <r>
    <x v="7"/>
    <x v="20"/>
    <s v="Y"/>
    <s v="NULL"/>
    <n v="25682.67"/>
    <n v="1990"/>
    <s v="N"/>
    <s v="NULL"/>
    <n v="24705"/>
    <n v="-977.67"/>
  </r>
  <r>
    <x v="22"/>
    <x v="20"/>
    <s v="Y"/>
    <s v="NULL"/>
    <n v="41687.57"/>
    <n v="1990"/>
    <s v="N"/>
    <s v="NULL"/>
    <n v="47955.360000000001"/>
    <n v="6267.79"/>
  </r>
  <r>
    <x v="10"/>
    <x v="21"/>
    <s v="Y"/>
    <s v="NULL"/>
    <n v="31023.43"/>
    <n v="1991"/>
    <s v="N"/>
    <s v="NULL"/>
    <n v="32041.43"/>
    <n v="1018"/>
  </r>
  <r>
    <x v="4"/>
    <x v="21"/>
    <s v="Y"/>
    <s v="NULL"/>
    <n v="29723"/>
    <n v="1991"/>
    <s v="N"/>
    <s v="NULL"/>
    <n v="29288.6"/>
    <n v="-434.4"/>
  </r>
  <r>
    <x v="6"/>
    <x v="21"/>
    <s v="Y"/>
    <s v="NULL"/>
    <n v="35842.01"/>
    <n v="1991"/>
    <s v="N"/>
    <s v="NULL"/>
    <n v="33496.21"/>
    <n v="-2345.8000000000002"/>
  </r>
  <r>
    <x v="5"/>
    <x v="21"/>
    <s v="Y"/>
    <s v="NULL"/>
    <n v="25330.94"/>
    <n v="1991"/>
    <s v="Y"/>
    <s v="NULL"/>
    <n v="24678.9"/>
    <n v="-652.04"/>
  </r>
  <r>
    <x v="0"/>
    <x v="22"/>
    <s v="Y"/>
    <s v="NULL"/>
    <n v="26422.43"/>
    <n v="1992"/>
    <s v="Y"/>
    <s v="NULL"/>
    <n v="37992.589999999997"/>
    <n v="11570.16"/>
  </r>
  <r>
    <x v="2"/>
    <x v="22"/>
    <s v="Y"/>
    <s v="NULL"/>
    <n v="28319.040000000001"/>
    <n v="1992"/>
    <s v="N"/>
    <s v="NULL"/>
    <n v="30644.3"/>
    <n v="2325.2600000000002"/>
  </r>
  <r>
    <x v="5"/>
    <x v="22"/>
    <s v="Y"/>
    <s v="NULL"/>
    <n v="24678.9"/>
    <n v="1992"/>
    <s v="Y"/>
    <s v="NULL"/>
    <n v="22648.43"/>
    <n v="-2030.47"/>
  </r>
  <r>
    <x v="22"/>
    <x v="22"/>
    <s v="Y"/>
    <s v="NULL"/>
    <n v="49401.56"/>
    <n v="1992"/>
    <s v="Y"/>
    <s v="NULL"/>
    <n v="49732.32"/>
    <n v="330.76"/>
  </r>
  <r>
    <x v="0"/>
    <x v="23"/>
    <s v="Y"/>
    <s v="NULL"/>
    <n v="37992.589999999997"/>
    <n v="1993"/>
    <s v="Y"/>
    <s v="NULL"/>
    <n v="47895.16"/>
    <n v="9902.57"/>
  </r>
  <r>
    <x v="6"/>
    <x v="23"/>
    <s v="Y"/>
    <s v="NULL"/>
    <n v="30792.1"/>
    <n v="1993"/>
    <s v="N"/>
    <s v="NULL"/>
    <n v="25050.16"/>
    <n v="-5741.94"/>
  </r>
  <r>
    <x v="5"/>
    <x v="23"/>
    <s v="Y"/>
    <s v="NULL"/>
    <n v="22648.43"/>
    <n v="1993"/>
    <s v="N"/>
    <s v="NULL"/>
    <n v="20406.439999999999"/>
    <n v="-2241.9899999999998"/>
  </r>
  <r>
    <x v="22"/>
    <x v="23"/>
    <s v="Y"/>
    <s v="NULL"/>
    <n v="49732.32"/>
    <n v="1993"/>
    <s v="Y"/>
    <s v="NULL"/>
    <n v="50095.64"/>
    <n v="363.32"/>
  </r>
  <r>
    <x v="0"/>
    <x v="24"/>
    <s v="Y"/>
    <s v="NULL"/>
    <n v="47895.16"/>
    <n v="1994"/>
    <s v="NULL"/>
    <s v="NULL"/>
    <n v="46077.09"/>
    <n v="-1818.07"/>
  </r>
  <r>
    <x v="19"/>
    <x v="24"/>
    <s v="Y"/>
    <s v="NULL"/>
    <n v="31864.95"/>
    <n v="1994"/>
    <s v="NULL"/>
    <s v="NULL"/>
    <n v="32027.32"/>
    <n v="162.37"/>
  </r>
  <r>
    <x v="13"/>
    <x v="24"/>
    <s v="Y"/>
    <s v="NULL"/>
    <n v="38734.720000000001"/>
    <n v="1994"/>
    <s v="NULL"/>
    <s v="NULL"/>
    <n v="38166.050000000003"/>
    <n v="-568.66999999999996"/>
  </r>
  <r>
    <x v="22"/>
    <x v="24"/>
    <s v="Y"/>
    <s v="NULL"/>
    <n v="50095.64"/>
    <n v="1994"/>
    <s v="NULL"/>
    <s v="NULL"/>
    <n v="49287.27"/>
    <n v="-808.37"/>
  </r>
  <r>
    <x v="0"/>
    <x v="25"/>
    <s v="Y"/>
    <s v="N"/>
    <n v="35617.94"/>
    <n v="1996"/>
    <s v="Y"/>
    <s v="N"/>
    <n v="35787.730000000003"/>
    <n v="169.79"/>
  </r>
  <r>
    <x v="10"/>
    <x v="25"/>
    <s v="Y"/>
    <s v="N"/>
    <n v="30061.13"/>
    <n v="1996"/>
    <s v="N"/>
    <s v="N"/>
    <n v="28584.560000000001"/>
    <n v="-1476.57"/>
  </r>
  <r>
    <x v="4"/>
    <x v="25"/>
    <s v="Y"/>
    <s v="N"/>
    <n v="25416.880000000001"/>
    <n v="1996"/>
    <s v="N"/>
    <s v="N"/>
    <n v="23104.43"/>
    <n v="-2312.4499999999998"/>
  </r>
  <r>
    <x v="23"/>
    <x v="25"/>
    <s v="Y"/>
    <s v="N"/>
    <n v="39482.25"/>
    <n v="1996"/>
    <s v="Y"/>
    <s v="N"/>
    <n v="41500.980000000003"/>
    <n v="2018.73"/>
  </r>
  <r>
    <x v="24"/>
    <x v="25"/>
    <s v="N"/>
    <s v="Y"/>
    <n v="47252.9"/>
    <n v="1996"/>
    <s v="N"/>
    <s v="N"/>
    <n v="48226.27"/>
    <n v="973.37"/>
  </r>
  <r>
    <x v="9"/>
    <x v="25"/>
    <s v="Y"/>
    <s v="N"/>
    <n v="38425.39"/>
    <n v="1996"/>
    <s v="N"/>
    <s v="Y"/>
    <n v="39363.629999999997"/>
    <n v="938.24"/>
  </r>
  <r>
    <x v="12"/>
    <x v="25"/>
    <s v="N"/>
    <s v="Y"/>
    <n v="23413.68"/>
    <n v="1996"/>
    <s v="Y"/>
    <s v="N"/>
    <n v="28188.14"/>
    <n v="4774.46"/>
  </r>
  <r>
    <x v="25"/>
    <x v="25"/>
    <s v="Y"/>
    <s v="N"/>
    <n v="22470.95"/>
    <n v="1996"/>
    <s v="N"/>
    <s v="N"/>
    <n v="33593.49"/>
    <n v="11122.54"/>
  </r>
  <r>
    <x v="0"/>
    <x v="26"/>
    <s v="Y"/>
    <s v="N"/>
    <n v="35787.730000000003"/>
    <n v="1997"/>
    <s v="Y"/>
    <s v="N"/>
    <n v="42563.06"/>
    <n v="6775.33"/>
  </r>
  <r>
    <x v="1"/>
    <x v="26"/>
    <s v="N"/>
    <s v="Y"/>
    <n v="44570.29"/>
    <n v="1997"/>
    <s v="Y"/>
    <s v="N"/>
    <n v="45585.04"/>
    <n v="1014.75"/>
  </r>
  <r>
    <x v="23"/>
    <x v="26"/>
    <s v="Y"/>
    <s v="N"/>
    <n v="41500.980000000003"/>
    <n v="1997"/>
    <s v="Y"/>
    <s v="N"/>
    <n v="41910.49"/>
    <n v="409.51"/>
  </r>
  <r>
    <x v="9"/>
    <x v="26"/>
    <s v="N"/>
    <s v="Y"/>
    <n v="39363.629999999997"/>
    <n v="1997"/>
    <s v="N"/>
    <s v="N"/>
    <n v="40979.26"/>
    <n v="1615.63"/>
  </r>
  <r>
    <x v="12"/>
    <x v="26"/>
    <s v="Y"/>
    <s v="N"/>
    <n v="28188.14"/>
    <n v="1997"/>
    <s v="N"/>
    <s v="Y"/>
    <n v="32263.040000000001"/>
    <n v="4074.9"/>
  </r>
  <r>
    <x v="21"/>
    <x v="26"/>
    <s v="Y"/>
    <s v="N"/>
    <n v="27258.25"/>
    <n v="1997"/>
    <s v="N"/>
    <s v="N"/>
    <n v="25794.23"/>
    <n v="-1464.02"/>
  </r>
  <r>
    <x v="18"/>
    <x v="26"/>
    <s v="Y"/>
    <s v="N"/>
    <n v="32664.49"/>
    <n v="1997"/>
    <s v="N"/>
    <s v="N"/>
    <n v="32772.44"/>
    <n v="107.95"/>
  </r>
  <r>
    <x v="26"/>
    <x v="26"/>
    <s v="Y"/>
    <s v="N"/>
    <n v="35667.160000000003"/>
    <n v="1997"/>
    <s v="N"/>
    <s v="N"/>
    <n v="36093.699999999997"/>
    <n v="426.54"/>
  </r>
  <r>
    <x v="0"/>
    <x v="27"/>
    <s v="Y"/>
    <s v="N"/>
    <n v="42563.06"/>
    <n v="1998"/>
    <s v="Y"/>
    <s v="N"/>
    <n v="41498.15"/>
    <n v="-1064.9100000000001"/>
  </r>
  <r>
    <x v="1"/>
    <x v="27"/>
    <s v="Y"/>
    <s v="N"/>
    <n v="45585.04"/>
    <n v="1998"/>
    <s v="N"/>
    <s v="N"/>
    <n v="45488.4"/>
    <n v="-96.64"/>
  </r>
  <r>
    <x v="23"/>
    <x v="27"/>
    <s v="Y"/>
    <s v="N"/>
    <n v="41910.49"/>
    <n v="1998"/>
    <s v="Y"/>
    <s v="N"/>
    <n v="42806.16"/>
    <n v="895.67"/>
  </r>
  <r>
    <x v="27"/>
    <x v="27"/>
    <s v="N"/>
    <s v="Y"/>
    <n v="29044.04"/>
    <n v="1998"/>
    <s v="N"/>
    <s v="N"/>
    <n v="21609.81"/>
    <n v="-7434.23"/>
  </r>
  <r>
    <x v="15"/>
    <x v="27"/>
    <s v="Y"/>
    <s v="N"/>
    <n v="25262.65"/>
    <n v="1998"/>
    <s v="Y"/>
    <s v="N"/>
    <n v="30252.48"/>
    <n v="4989.83"/>
  </r>
  <r>
    <x v="12"/>
    <x v="27"/>
    <s v="N"/>
    <s v="Y"/>
    <n v="32263.040000000001"/>
    <n v="1998"/>
    <s v="Y"/>
    <s v="N"/>
    <n v="36416.47"/>
    <n v="4153.43"/>
  </r>
  <r>
    <x v="25"/>
    <x v="27"/>
    <s v="Y"/>
    <s v="N"/>
    <n v="39469.800000000003"/>
    <n v="1998"/>
    <s v="N"/>
    <s v="N"/>
    <n v="32734.7"/>
    <n v="-6735.1"/>
  </r>
  <r>
    <x v="7"/>
    <x v="27"/>
    <s v="Y"/>
    <s v="N"/>
    <n v="20945.47"/>
    <n v="1998"/>
    <s v="N"/>
    <s v="N"/>
    <n v="23773.26"/>
    <n v="2827.79"/>
  </r>
  <r>
    <x v="0"/>
    <x v="28"/>
    <s v="Y"/>
    <s v="N"/>
    <n v="41498.15"/>
    <n v="1999"/>
    <s v="Y"/>
    <s v="N"/>
    <n v="40554.33"/>
    <n v="-943.82"/>
  </r>
  <r>
    <x v="10"/>
    <x v="28"/>
    <s v="N"/>
    <s v="Y"/>
    <n v="28937.41"/>
    <n v="1999"/>
    <s v="N"/>
    <s v="Y"/>
    <n v="30200.95"/>
    <n v="1263.54"/>
  </r>
  <r>
    <x v="20"/>
    <x v="28"/>
    <s v="N"/>
    <s v="Y"/>
    <n v="31987.8"/>
    <n v="1999"/>
    <s v="N"/>
    <s v="N"/>
    <n v="34738.94"/>
    <n v="2751.14"/>
  </r>
  <r>
    <x v="23"/>
    <x v="28"/>
    <s v="Y"/>
    <s v="N"/>
    <n v="42806.16"/>
    <n v="1999"/>
    <s v="Y"/>
    <s v="N"/>
    <n v="42820.2"/>
    <n v="14.04"/>
  </r>
  <r>
    <x v="15"/>
    <x v="28"/>
    <s v="Y"/>
    <s v="N"/>
    <n v="30252.48"/>
    <n v="1999"/>
    <s v="Y"/>
    <s v="N"/>
    <n v="33000.21"/>
    <n v="2747.73"/>
  </r>
  <r>
    <x v="12"/>
    <x v="28"/>
    <s v="Y"/>
    <s v="N"/>
    <n v="36416.47"/>
    <n v="1999"/>
    <s v="Y"/>
    <s v="N"/>
    <n v="40657.519999999997"/>
    <n v="4241.05"/>
  </r>
  <r>
    <x v="21"/>
    <x v="28"/>
    <s v="Y"/>
    <s v="N"/>
    <n v="31555.11"/>
    <n v="1999"/>
    <s v="N"/>
    <s v="N"/>
    <n v="31154.79"/>
    <n v="-400.32"/>
  </r>
  <r>
    <x v="26"/>
    <x v="28"/>
    <s v="Y"/>
    <s v="N"/>
    <n v="36140.85"/>
    <n v="1999"/>
    <s v="Y"/>
    <s v="N"/>
    <n v="34253.1"/>
    <n v="-1887.75"/>
  </r>
  <r>
    <x v="28"/>
    <x v="29"/>
    <s v="Y"/>
    <s v="N"/>
    <n v="37233.93"/>
    <n v="2000"/>
    <s v="N"/>
    <s v="N"/>
    <n v="36324.089999999997"/>
    <n v="-909.84"/>
  </r>
  <r>
    <x v="0"/>
    <x v="29"/>
    <s v="Y"/>
    <s v="N"/>
    <n v="40554.33"/>
    <n v="2000"/>
    <s v="Y"/>
    <s v="N"/>
    <n v="39929.68"/>
    <n v="-624.65"/>
  </r>
  <r>
    <x v="10"/>
    <x v="29"/>
    <s v="N"/>
    <s v="Y"/>
    <n v="30200.95"/>
    <n v="2000"/>
    <s v="N"/>
    <s v="N"/>
    <n v="31924.63"/>
    <n v="1723.68"/>
  </r>
  <r>
    <x v="23"/>
    <x v="29"/>
    <s v="Y"/>
    <s v="N"/>
    <n v="42820.2"/>
    <n v="2000"/>
    <s v="N"/>
    <s v="N"/>
    <n v="42670.1"/>
    <n v="-150.1"/>
  </r>
  <r>
    <x v="15"/>
    <x v="29"/>
    <s v="Y"/>
    <s v="N"/>
    <n v="33000.21"/>
    <n v="2000"/>
    <s v="N"/>
    <s v="N"/>
    <n v="37730.11"/>
    <n v="4729.8999999999996"/>
  </r>
  <r>
    <x v="12"/>
    <x v="29"/>
    <s v="Y"/>
    <s v="N"/>
    <n v="40657.519999999997"/>
    <n v="2000"/>
    <s v="Y"/>
    <s v="N"/>
    <n v="40345.71"/>
    <n v="-311.81"/>
  </r>
  <r>
    <x v="3"/>
    <x v="29"/>
    <s v="N"/>
    <s v="Y"/>
    <n v="33654.42"/>
    <n v="2000"/>
    <s v="N"/>
    <s v="Y"/>
    <n v="34821.360000000001"/>
    <n v="1166.94"/>
  </r>
  <r>
    <x v="26"/>
    <x v="29"/>
    <s v="Y"/>
    <s v="N"/>
    <n v="34253.1"/>
    <n v="2000"/>
    <s v="N"/>
    <s v="N"/>
    <n v="34568.83"/>
    <n v="315.73"/>
  </r>
  <r>
    <x v="0"/>
    <x v="30"/>
    <s v="Y"/>
    <s v="N"/>
    <n v="39929.68"/>
    <n v="2001"/>
    <s v="Y"/>
    <s v="N"/>
    <n v="34857.949999999997"/>
    <n v="-5071.7299999999996"/>
  </r>
  <r>
    <x v="19"/>
    <x v="30"/>
    <s v="Y"/>
    <s v="N"/>
    <n v="24338.84"/>
    <n v="2001"/>
    <s v="N"/>
    <s v="N"/>
    <n v="21804.59"/>
    <n v="-2534.25"/>
  </r>
  <r>
    <x v="12"/>
    <x v="30"/>
    <s v="Y"/>
    <s v="N"/>
    <n v="40345.71"/>
    <n v="2001"/>
    <s v="Y"/>
    <s v="N"/>
    <n v="40810.589999999997"/>
    <n v="464.88"/>
  </r>
  <r>
    <x v="3"/>
    <x v="30"/>
    <s v="N"/>
    <s v="Y"/>
    <n v="34821.360000000001"/>
    <n v="2001"/>
    <s v="N"/>
    <s v="N"/>
    <n v="32818.89"/>
    <n v="-2002.47"/>
  </r>
  <r>
    <x v="6"/>
    <x v="30"/>
    <s v="Y"/>
    <s v="N"/>
    <n v="21344.26"/>
    <n v="2001"/>
    <s v="N"/>
    <s v="Y"/>
    <n v="26339.22"/>
    <n v="4994.96"/>
  </r>
  <r>
    <x v="25"/>
    <x v="30"/>
    <s v="N"/>
    <s v="Y"/>
    <n v="38868.11"/>
    <n v="2001"/>
    <s v="Y"/>
    <s v="N"/>
    <n v="43362.05"/>
    <n v="4493.9399999999996"/>
  </r>
  <r>
    <x v="7"/>
    <x v="30"/>
    <s v="Y"/>
    <s v="N"/>
    <n v="40930"/>
    <n v="2001"/>
    <s v="N"/>
    <s v="N"/>
    <n v="40876.54"/>
    <n v="-53.46"/>
  </r>
  <r>
    <x v="18"/>
    <x v="30"/>
    <s v="Y"/>
    <s v="N"/>
    <n v="41191.269999999997"/>
    <n v="2001"/>
    <s v="N"/>
    <s v="Y"/>
    <n v="37921.68"/>
    <n v="-3269.59"/>
  </r>
  <r>
    <x v="28"/>
    <x v="31"/>
    <s v="Y"/>
    <s v="N"/>
    <n v="33775.57"/>
    <n v="2002"/>
    <s v="Y"/>
    <s v="N"/>
    <n v="39493.519999999997"/>
    <n v="5717.95"/>
  </r>
  <r>
    <x v="0"/>
    <x v="31"/>
    <s v="Y"/>
    <s v="N"/>
    <n v="34857.949999999997"/>
    <n v="2002"/>
    <s v="Y"/>
    <s v="N"/>
    <n v="32141.78"/>
    <n v="-2716.17"/>
  </r>
  <r>
    <x v="23"/>
    <x v="31"/>
    <s v="Y"/>
    <s v="N"/>
    <n v="39781.54"/>
    <n v="2002"/>
    <s v="N"/>
    <s v="N"/>
    <n v="32369.63"/>
    <n v="-7411.91"/>
  </r>
  <r>
    <x v="15"/>
    <x v="31"/>
    <s v="Y"/>
    <s v="N"/>
    <n v="35879.96"/>
    <n v="2002"/>
    <s v="N"/>
    <s v="N"/>
    <n v="31016.75"/>
    <n v="-4863.21"/>
  </r>
  <r>
    <x v="12"/>
    <x v="31"/>
    <s v="Y"/>
    <s v="N"/>
    <n v="40810.589999999997"/>
    <n v="2002"/>
    <s v="Y"/>
    <s v="N"/>
    <n v="43322.59"/>
    <n v="2512"/>
  </r>
  <r>
    <x v="6"/>
    <x v="31"/>
    <s v="N"/>
    <s v="Y"/>
    <n v="26339.22"/>
    <n v="2002"/>
    <s v="Y"/>
    <s v="N"/>
    <n v="26787.85"/>
    <n v="448.63"/>
  </r>
  <r>
    <x v="25"/>
    <x v="31"/>
    <s v="Y"/>
    <s v="N"/>
    <n v="43362.05"/>
    <n v="2002"/>
    <s v="N"/>
    <s v="N"/>
    <n v="43702.94"/>
    <n v="340.89"/>
  </r>
  <r>
    <x v="18"/>
    <x v="31"/>
    <s v="N"/>
    <s v="Y"/>
    <n v="37921.68"/>
    <n v="2002"/>
    <s v="Y"/>
    <s v="N"/>
    <n v="37182.17"/>
    <n v="-739.51"/>
  </r>
  <r>
    <x v="29"/>
    <x v="32"/>
    <s v="N"/>
    <s v="Y"/>
    <n v="28462.560000000001"/>
    <n v="2003"/>
    <s v="N"/>
    <s v="N"/>
    <n v="37330.410000000003"/>
    <n v="8867.85"/>
  </r>
  <r>
    <x v="28"/>
    <x v="32"/>
    <s v="Y"/>
    <s v="N"/>
    <n v="39493.519999999997"/>
    <n v="2003"/>
    <s v="N"/>
    <s v="N"/>
    <n v="34636.32"/>
    <n v="-4857.2"/>
  </r>
  <r>
    <x v="0"/>
    <x v="32"/>
    <s v="Y"/>
    <s v="N"/>
    <n v="32141.78"/>
    <n v="2003"/>
    <s v="Y"/>
    <s v="N"/>
    <n v="29643.01"/>
    <n v="-2498.77"/>
  </r>
  <r>
    <x v="2"/>
    <x v="32"/>
    <s v="Y"/>
    <s v="N"/>
    <n v="23757.46"/>
    <n v="2003"/>
    <s v="Y"/>
    <s v="N"/>
    <n v="24024.83"/>
    <n v="267.37"/>
  </r>
  <r>
    <x v="12"/>
    <x v="32"/>
    <s v="Y"/>
    <s v="N"/>
    <n v="43322.59"/>
    <n v="2003"/>
    <s v="Y"/>
    <s v="N"/>
    <n v="42202.44"/>
    <n v="-1120.1500000000001"/>
  </r>
  <r>
    <x v="6"/>
    <x v="32"/>
    <s v="Y"/>
    <s v="N"/>
    <n v="26787.85"/>
    <n v="2003"/>
    <s v="Y"/>
    <s v="N"/>
    <n v="27365.38"/>
    <n v="577.53"/>
  </r>
  <r>
    <x v="7"/>
    <x v="32"/>
    <s v="N"/>
    <s v="Y"/>
    <n v="40163"/>
    <n v="2003"/>
    <s v="Y"/>
    <s v="N"/>
    <n v="40307.379999999997"/>
    <n v="144.38"/>
  </r>
  <r>
    <x v="18"/>
    <x v="32"/>
    <s v="Y"/>
    <s v="N"/>
    <n v="37182.17"/>
    <n v="2003"/>
    <s v="N"/>
    <s v="N"/>
    <n v="35930.69"/>
    <n v="-1251.48"/>
  </r>
  <r>
    <x v="0"/>
    <x v="33"/>
    <s v="Y"/>
    <s v="N"/>
    <n v="29643.01"/>
    <n v="2004"/>
    <s v="Y"/>
    <s v="N"/>
    <n v="28673.64"/>
    <n v="-969.37"/>
  </r>
  <r>
    <x v="10"/>
    <x v="33"/>
    <s v="N"/>
    <s v="Y"/>
    <n v="33631.67"/>
    <n v="2004"/>
    <s v="N"/>
    <s v="Y"/>
    <n v="35028.44"/>
    <n v="1396.77"/>
  </r>
  <r>
    <x v="20"/>
    <x v="33"/>
    <s v="Y"/>
    <s v="N"/>
    <n v="36575.68"/>
    <n v="2004"/>
    <s v="N"/>
    <s v="N"/>
    <n v="38660.410000000003"/>
    <n v="2084.73"/>
  </r>
  <r>
    <x v="27"/>
    <x v="33"/>
    <s v="N"/>
    <s v="Y"/>
    <n v="16089.06"/>
    <n v="2004"/>
    <s v="N"/>
    <s v="N"/>
    <n v="21538.81"/>
    <n v="5449.75"/>
  </r>
  <r>
    <x v="2"/>
    <x v="33"/>
    <s v="Y"/>
    <s v="N"/>
    <n v="24024.83"/>
    <n v="2004"/>
    <s v="Y"/>
    <s v="N"/>
    <n v="23598.639999999999"/>
    <n v="-426.19"/>
  </r>
  <r>
    <x v="12"/>
    <x v="33"/>
    <s v="Y"/>
    <s v="N"/>
    <n v="42202.44"/>
    <n v="2004"/>
    <s v="Y"/>
    <s v="N"/>
    <n v="46608.54"/>
    <n v="4406.1000000000004"/>
  </r>
  <r>
    <x v="6"/>
    <x v="33"/>
    <s v="Y"/>
    <s v="N"/>
    <n v="27365.38"/>
    <n v="2004"/>
    <s v="N"/>
    <s v="N"/>
    <n v="27179.21"/>
    <n v="-186.17"/>
  </r>
  <r>
    <x v="7"/>
    <x v="33"/>
    <s v="Y"/>
    <s v="N"/>
    <n v="40307.379999999997"/>
    <n v="2004"/>
    <s v="N"/>
    <s v="N"/>
    <n v="39717.730000000003"/>
    <n v="-589.65"/>
  </r>
  <r>
    <x v="0"/>
    <x v="34"/>
    <s v="Y"/>
    <s v="N"/>
    <n v="28673.64"/>
    <n v="2005"/>
    <s v="Y"/>
    <s v="N"/>
    <n v="31130.05"/>
    <n v="2456.41"/>
  </r>
  <r>
    <x v="10"/>
    <x v="34"/>
    <s v="N"/>
    <s v="Y"/>
    <n v="35028.44"/>
    <n v="2005"/>
    <s v="N"/>
    <s v="Y"/>
    <n v="35158"/>
    <n v="129.56"/>
  </r>
  <r>
    <x v="15"/>
    <x v="34"/>
    <s v="N"/>
    <s v="Y"/>
    <n v="38121.879999999997"/>
    <n v="2005"/>
    <s v="N"/>
    <s v="Y"/>
    <n v="34626.67"/>
    <n v="-3495.21"/>
  </r>
  <r>
    <x v="9"/>
    <x v="34"/>
    <s v="Y"/>
    <s v="N"/>
    <n v="43065.22"/>
    <n v="2005"/>
    <s v="N"/>
    <s v="N"/>
    <n v="44489.88"/>
    <n v="1424.66"/>
  </r>
  <r>
    <x v="2"/>
    <x v="34"/>
    <s v="Y"/>
    <s v="N"/>
    <n v="23598.639999999999"/>
    <n v="2005"/>
    <s v="N"/>
    <s v="N"/>
    <n v="25114.11"/>
    <n v="1515.47"/>
  </r>
  <r>
    <x v="12"/>
    <x v="34"/>
    <s v="Y"/>
    <s v="N"/>
    <n v="46608.54"/>
    <n v="2005"/>
    <s v="Y"/>
    <s v="N"/>
    <n v="50499.26"/>
    <n v="3890.72"/>
  </r>
  <r>
    <x v="18"/>
    <x v="34"/>
    <s v="Y"/>
    <s v="N"/>
    <n v="37634.9"/>
    <n v="2005"/>
    <s v="Y"/>
    <s v="N"/>
    <n v="43731.74"/>
    <n v="6096.84"/>
  </r>
  <r>
    <x v="0"/>
    <x v="35"/>
    <s v="Y"/>
    <s v="N"/>
    <n v="31130.05"/>
    <n v="2006"/>
    <s v="N"/>
    <s v="N"/>
    <n v="31475.599999999999"/>
    <n v="345.55"/>
  </r>
  <r>
    <x v="10"/>
    <x v="35"/>
    <s v="N"/>
    <s v="Y"/>
    <n v="35158"/>
    <n v="2006"/>
    <s v="N"/>
    <s v="N"/>
    <n v="36182.32"/>
    <n v="1024.32"/>
  </r>
  <r>
    <x v="19"/>
    <x v="35"/>
    <s v="Y"/>
    <s v="N"/>
    <n v="28923.88"/>
    <n v="2006"/>
    <s v="N"/>
    <s v="N"/>
    <n v="36511.279999999999"/>
    <n v="7587.4"/>
  </r>
  <r>
    <x v="15"/>
    <x v="35"/>
    <s v="N"/>
    <s v="Y"/>
    <n v="34626.67"/>
    <n v="2006"/>
    <s v="N"/>
    <s v="N"/>
    <n v="37318.06"/>
    <n v="2691.39"/>
  </r>
  <r>
    <x v="30"/>
    <x v="35"/>
    <s v="Y"/>
    <s v="N"/>
    <n v="42032.54"/>
    <n v="2006"/>
    <s v="N"/>
    <s v="N"/>
    <n v="42059.14"/>
    <n v="26.6"/>
  </r>
  <r>
    <x v="12"/>
    <x v="35"/>
    <s v="Y"/>
    <s v="N"/>
    <n v="50499.26"/>
    <n v="2006"/>
    <s v="Y"/>
    <s v="N"/>
    <n v="52444.2"/>
    <n v="1944.94"/>
  </r>
  <r>
    <x v="21"/>
    <x v="35"/>
    <s v="Y"/>
    <s v="N"/>
    <n v="35429.47"/>
    <n v="2006"/>
    <s v="Y"/>
    <s v="N"/>
    <n v="32836.199999999997"/>
    <n v="-2593.27"/>
  </r>
  <r>
    <x v="18"/>
    <x v="35"/>
    <s v="Y"/>
    <s v="N"/>
    <n v="43731.74"/>
    <n v="2006"/>
    <s v="Y"/>
    <s v="N"/>
    <n v="42588.800000000003"/>
    <n v="-1142.94"/>
  </r>
  <r>
    <x v="8"/>
    <x v="36"/>
    <s v="N"/>
    <s v="Y"/>
    <n v="32048.6"/>
    <n v="2007"/>
    <s v="N"/>
    <s v="N"/>
    <n v="37618.81"/>
    <n v="5570.21"/>
  </r>
  <r>
    <x v="9"/>
    <x v="36"/>
    <s v="N"/>
    <s v="Y"/>
    <n v="46400.26"/>
    <n v="2007"/>
    <s v="N"/>
    <s v="N"/>
    <n v="47614.23"/>
    <n v="1213.97"/>
  </r>
  <r>
    <x v="2"/>
    <x v="36"/>
    <s v="Y"/>
    <s v="N"/>
    <n v="28210.1"/>
    <n v="2007"/>
    <s v="N"/>
    <s v="N"/>
    <n v="28350.41"/>
    <n v="140.31"/>
  </r>
  <r>
    <x v="12"/>
    <x v="36"/>
    <s v="Y"/>
    <s v="N"/>
    <n v="52444.2"/>
    <n v="2007"/>
    <s v="N"/>
    <s v="Y"/>
    <n v="52739.1"/>
    <n v="294.89999999999998"/>
  </r>
  <r>
    <x v="3"/>
    <x v="36"/>
    <s v="Y"/>
    <s v="N"/>
    <n v="41630.19"/>
    <n v="2007"/>
    <s v="N"/>
    <s v="N"/>
    <n v="47579.69"/>
    <n v="5949.5"/>
  </r>
  <r>
    <x v="6"/>
    <x v="36"/>
    <s v="Y"/>
    <s v="N"/>
    <n v="24402.78"/>
    <n v="2007"/>
    <s v="N"/>
    <s v="N"/>
    <n v="23726.47"/>
    <n v="-676.31"/>
  </r>
  <r>
    <x v="21"/>
    <x v="36"/>
    <s v="Y"/>
    <s v="N"/>
    <n v="32836.199999999997"/>
    <n v="2007"/>
    <s v="N"/>
    <s v="N"/>
    <n v="34445.360000000001"/>
    <n v="1609.16"/>
  </r>
  <r>
    <x v="18"/>
    <x v="36"/>
    <s v="Y"/>
    <s v="N"/>
    <n v="42588.800000000003"/>
    <n v="2007"/>
    <s v="N"/>
    <s v="N"/>
    <n v="43854.07"/>
    <n v="1265.27"/>
  </r>
  <r>
    <x v="28"/>
    <x v="37"/>
    <s v="Y"/>
    <s v="N"/>
    <n v="28598.85"/>
    <n v="2008"/>
    <s v="N"/>
    <s v="N"/>
    <n v="30986.720000000001"/>
    <n v="2387.87"/>
  </r>
  <r>
    <x v="10"/>
    <x v="37"/>
    <s v="Y"/>
    <s v="N"/>
    <n v="36675.99"/>
    <n v="2008"/>
    <s v="N"/>
    <s v="Y"/>
    <n v="37632.720000000001"/>
    <n v="956.73"/>
  </r>
  <r>
    <x v="20"/>
    <x v="37"/>
    <s v="Y"/>
    <s v="N"/>
    <n v="40153.85"/>
    <n v="2008"/>
    <s v="Y"/>
    <s v="N"/>
    <n v="40738.769999999997"/>
    <n v="584.91999999999996"/>
  </r>
  <r>
    <x v="23"/>
    <x v="37"/>
    <s v="Y"/>
    <s v="N"/>
    <n v="28448.89"/>
    <n v="2008"/>
    <s v="N"/>
    <s v="N"/>
    <n v="26787.16"/>
    <n v="-1661.73"/>
  </r>
  <r>
    <x v="24"/>
    <x v="37"/>
    <s v="N"/>
    <s v="Y"/>
    <n v="28978.66"/>
    <n v="2008"/>
    <s v="N"/>
    <s v="N"/>
    <n v="32718.74"/>
    <n v="3740.08"/>
  </r>
  <r>
    <x v="30"/>
    <x v="37"/>
    <s v="Y"/>
    <s v="N"/>
    <n v="41551.01"/>
    <n v="2008"/>
    <s v="Y"/>
    <s v="N"/>
    <n v="41194.410000000003"/>
    <n v="-356.6"/>
  </r>
  <r>
    <x v="12"/>
    <x v="37"/>
    <s v="N"/>
    <s v="Y"/>
    <n v="52739.1"/>
    <n v="2008"/>
    <s v="N"/>
    <s v="N"/>
    <n v="53069.81"/>
    <n v="330.71"/>
  </r>
  <r>
    <x v="13"/>
    <x v="37"/>
    <s v="Y"/>
    <s v="N"/>
    <n v="38374.44"/>
    <n v="2008"/>
    <s v="Y"/>
    <s v="N"/>
    <n v="42254.11"/>
    <n v="3879.67"/>
  </r>
  <r>
    <x v="10"/>
    <x v="38"/>
    <s v="N"/>
    <s v="Y"/>
    <n v="37632.720000000001"/>
    <n v="2009"/>
    <s v="N"/>
    <s v="Y"/>
    <n v="37811.1"/>
    <n v="178.38"/>
  </r>
  <r>
    <x v="19"/>
    <x v="38"/>
    <s v="Y"/>
    <s v="N"/>
    <n v="30501.26"/>
    <n v="2009"/>
    <s v="N"/>
    <s v="N"/>
    <n v="28199.54"/>
    <n v="-2301.7199999999998"/>
  </r>
  <r>
    <x v="20"/>
    <x v="38"/>
    <s v="Y"/>
    <s v="N"/>
    <n v="40738.769999999997"/>
    <n v="2009"/>
    <s v="N"/>
    <s v="N"/>
    <n v="39610.74"/>
    <n v="-1128.03"/>
  </r>
  <r>
    <x v="30"/>
    <x v="38"/>
    <s v="Y"/>
    <s v="N"/>
    <n v="41194.410000000003"/>
    <n v="2009"/>
    <s v="Y"/>
    <s v="N"/>
    <n v="40004.769999999997"/>
    <n v="-1189.6400000000001"/>
  </r>
  <r>
    <x v="9"/>
    <x v="38"/>
    <s v="Y"/>
    <s v="N"/>
    <n v="46056.21"/>
    <n v="2009"/>
    <s v="Y"/>
    <s v="N"/>
    <n v="46440.36"/>
    <n v="384.15"/>
  </r>
  <r>
    <x v="31"/>
    <x v="38"/>
    <s v="N"/>
    <s v="Y"/>
    <n v="37887.75"/>
    <n v="2009"/>
    <s v="N"/>
    <s v="N"/>
    <n v="37499.4"/>
    <n v="-388.35"/>
  </r>
  <r>
    <x v="13"/>
    <x v="38"/>
    <s v="Y"/>
    <s v="N"/>
    <n v="42254.11"/>
    <n v="2009"/>
    <s v="Y"/>
    <s v="N"/>
    <n v="44453"/>
    <n v="2198.89"/>
  </r>
  <r>
    <x v="32"/>
    <x v="38"/>
    <s v="Y"/>
    <s v="N"/>
    <n v="22370.2"/>
    <n v="2009"/>
    <s v="N"/>
    <s v="N"/>
    <n v="23147.68"/>
    <n v="777.48"/>
  </r>
  <r>
    <x v="10"/>
    <x v="39"/>
    <s v="N"/>
    <s v="Y"/>
    <n v="37811.1"/>
    <n v="2010"/>
    <s v="N"/>
    <s v="N"/>
    <n v="37610.43"/>
    <n v="-200.67"/>
  </r>
  <r>
    <x v="24"/>
    <x v="39"/>
    <s v="N"/>
    <s v="Y"/>
    <n v="32902.22"/>
    <n v="2010"/>
    <s v="N"/>
    <s v="N"/>
    <n v="35496.85"/>
    <n v="2594.63"/>
  </r>
  <r>
    <x v="30"/>
    <x v="39"/>
    <s v="Y"/>
    <s v="N"/>
    <n v="40004.769999999997"/>
    <n v="2010"/>
    <s v="N"/>
    <s v="N"/>
    <n v="40132.769999999997"/>
    <n v="128"/>
  </r>
  <r>
    <x v="9"/>
    <x v="39"/>
    <s v="Y"/>
    <s v="N"/>
    <n v="46440.36"/>
    <n v="2010"/>
    <s v="N"/>
    <s v="N"/>
    <n v="43979.23"/>
    <n v="-2461.13"/>
  </r>
  <r>
    <x v="2"/>
    <x v="39"/>
    <s v="Y"/>
    <s v="N"/>
    <n v="29466.3"/>
    <n v="2010"/>
    <s v="Y"/>
    <s v="N"/>
    <n v="39798.019999999997"/>
    <n v="10331.719999999999"/>
  </r>
  <r>
    <x v="12"/>
    <x v="39"/>
    <s v="Y"/>
    <s v="N"/>
    <n v="45918"/>
    <n v="2010"/>
    <s v="N"/>
    <s v="Y"/>
    <n v="46491.44"/>
    <n v="573.44000000000005"/>
  </r>
  <r>
    <x v="13"/>
    <x v="39"/>
    <s v="Y"/>
    <s v="N"/>
    <n v="44453"/>
    <n v="2010"/>
    <s v="Y"/>
    <s v="N"/>
    <n v="45027.77"/>
    <n v="574.77"/>
  </r>
  <r>
    <x v="18"/>
    <x v="39"/>
    <s v="Y"/>
    <s v="N"/>
    <n v="41274.720000000001"/>
    <n v="2010"/>
    <s v="N"/>
    <s v="N"/>
    <n v="40755.78"/>
    <n v="-518.94000000000005"/>
  </r>
  <r>
    <x v="0"/>
    <x v="40"/>
    <s v="N"/>
    <s v="Y"/>
    <n v="30989.15"/>
    <n v="2011"/>
    <s v="N"/>
    <s v="N"/>
    <n v="29295.56"/>
    <n v="-1693.59"/>
  </r>
  <r>
    <x v="4"/>
    <x v="40"/>
    <s v="Y"/>
    <s v="N"/>
    <n v="25438.89"/>
    <n v="2011"/>
    <s v="N"/>
    <s v="N"/>
    <n v="27328.25"/>
    <n v="1889.36"/>
  </r>
  <r>
    <x v="2"/>
    <x v="40"/>
    <s v="Y"/>
    <s v="N"/>
    <n v="39798.019999999997"/>
    <n v="2011"/>
    <s v="N"/>
    <s v="N"/>
    <n v="39112.54"/>
    <n v="-685.48"/>
  </r>
  <r>
    <x v="12"/>
    <x v="40"/>
    <s v="N"/>
    <s v="Y"/>
    <n v="46491.44"/>
    <n v="2011"/>
    <s v="Y"/>
    <s v="N"/>
    <n v="45107.16"/>
    <n v="-1384.28"/>
  </r>
  <r>
    <x v="13"/>
    <x v="40"/>
    <s v="Y"/>
    <s v="N"/>
    <n v="45027.77"/>
    <n v="2011"/>
    <s v="Y"/>
    <s v="N"/>
    <n v="45440.959999999999"/>
    <n v="413.19"/>
  </r>
  <r>
    <x v="7"/>
    <x v="40"/>
    <s v="Y"/>
    <s v="N"/>
    <n v="37497.120000000003"/>
    <n v="2011"/>
    <s v="N"/>
    <s v="N"/>
    <n v="41818.559999999998"/>
    <n v="4321.4399999999996"/>
  </r>
  <r>
    <x v="32"/>
    <x v="40"/>
    <s v="Y"/>
    <s v="N"/>
    <n v="23024.720000000001"/>
    <n v="2011"/>
    <s v="N"/>
    <s v="Y"/>
    <n v="18878.86"/>
    <n v="-4145.8599999999997"/>
  </r>
  <r>
    <x v="26"/>
    <x v="40"/>
    <s v="Y"/>
    <s v="N"/>
    <n v="30928.04"/>
    <n v="2011"/>
    <s v="Y"/>
    <s v="N"/>
    <n v="36382.089999999997"/>
    <n v="5454.05"/>
  </r>
  <r>
    <x v="28"/>
    <x v="41"/>
    <s v="Y"/>
    <s v="N"/>
    <n v="25992.99"/>
    <n v="2012"/>
    <s v="N"/>
    <s v="N"/>
    <n v="26884.16"/>
    <n v="891.17"/>
  </r>
  <r>
    <x v="8"/>
    <x v="41"/>
    <s v="Y"/>
    <s v="N"/>
    <n v="32617.84"/>
    <n v="2012"/>
    <s v="Y"/>
    <s v="N"/>
    <n v="37383.120000000003"/>
    <n v="4765.28"/>
  </r>
  <r>
    <x v="31"/>
    <x v="41"/>
    <s v="Y"/>
    <s v="N"/>
    <n v="37918.19"/>
    <n v="2012"/>
    <s v="N"/>
    <s v="N"/>
    <n v="34955.370000000003"/>
    <n v="-2962.82"/>
  </r>
  <r>
    <x v="12"/>
    <x v="41"/>
    <s v="Y"/>
    <s v="N"/>
    <n v="45107.16"/>
    <n v="2012"/>
    <s v="Y"/>
    <s v="N"/>
    <n v="43733.41"/>
    <n v="-1373.75"/>
  </r>
  <r>
    <x v="13"/>
    <x v="41"/>
    <s v="Y"/>
    <s v="N"/>
    <n v="45440.959999999999"/>
    <n v="2012"/>
    <s v="N"/>
    <s v="N"/>
    <n v="44021.21"/>
    <n v="-1419.75"/>
  </r>
  <r>
    <x v="18"/>
    <x v="41"/>
    <s v="N"/>
    <s v="Y"/>
    <n v="38196.959999999999"/>
    <n v="2012"/>
    <s v="N"/>
    <s v="Y"/>
    <n v="40272.949999999997"/>
    <n v="2075.9899999999998"/>
  </r>
  <r>
    <x v="32"/>
    <x v="41"/>
    <s v="N"/>
    <s v="Y"/>
    <n v="18878.86"/>
    <n v="2012"/>
    <s v="N"/>
    <s v="N"/>
    <n v="19255.32"/>
    <n v="376.46"/>
  </r>
  <r>
    <x v="26"/>
    <x v="41"/>
    <s v="Y"/>
    <s v="N"/>
    <n v="36382.089999999997"/>
    <n v="2012"/>
    <s v="N"/>
    <s v="Y"/>
    <n v="42719.51"/>
    <n v="6337.42"/>
  </r>
  <r>
    <x v="0"/>
    <x v="42"/>
    <s v="N"/>
    <s v="Y"/>
    <n v="29878.65"/>
    <n v="2013"/>
    <s v="Y"/>
    <s v="N"/>
    <n v="31465.17"/>
    <n v="1586.52"/>
  </r>
  <r>
    <x v="1"/>
    <x v="42"/>
    <s v="N"/>
    <s v="Y"/>
    <n v="25953.58"/>
    <n v="2013"/>
    <s v="N"/>
    <s v="N"/>
    <n v="29105.69"/>
    <n v="3152.11"/>
  </r>
  <r>
    <x v="4"/>
    <x v="42"/>
    <s v="Y"/>
    <s v="N"/>
    <n v="28978.41"/>
    <n v="2013"/>
    <s v="N"/>
    <s v="Y"/>
    <n v="31289.02"/>
    <n v="2310.61"/>
  </r>
  <r>
    <x v="8"/>
    <x v="42"/>
    <s v="Y"/>
    <s v="N"/>
    <n v="37383.120000000003"/>
    <n v="2013"/>
    <s v="Y"/>
    <s v="N"/>
    <n v="38066.629999999997"/>
    <n v="683.51"/>
  </r>
  <r>
    <x v="12"/>
    <x v="42"/>
    <s v="Y"/>
    <s v="N"/>
    <n v="43733.41"/>
    <n v="2013"/>
    <s v="N"/>
    <s v="N"/>
    <n v="40488.75"/>
    <n v="-3244.66"/>
  </r>
  <r>
    <x v="6"/>
    <x v="42"/>
    <s v="Y"/>
    <s v="N"/>
    <n v="20728.560000000001"/>
    <n v="2013"/>
    <s v="Y"/>
    <s v="N"/>
    <n v="22337.06"/>
    <n v="1608.5"/>
  </r>
  <r>
    <x v="7"/>
    <x v="42"/>
    <s v="Y"/>
    <s v="N"/>
    <n v="41695.94"/>
    <n v="2013"/>
    <s v="N"/>
    <s v="N"/>
    <n v="41071.56"/>
    <n v="-624.38"/>
  </r>
  <r>
    <x v="18"/>
    <x v="42"/>
    <s v="N"/>
    <s v="Y"/>
    <n v="40272.949999999997"/>
    <n v="2013"/>
    <s v="Y"/>
    <s v="N"/>
    <n v="41602.089999999997"/>
    <n v="1329.14"/>
  </r>
  <r>
    <x v="26"/>
    <x v="42"/>
    <s v="N"/>
    <s v="Y"/>
    <n v="42719.51"/>
    <n v="2013"/>
    <s v="N"/>
    <s v="N"/>
    <n v="38759.43"/>
    <n v="-3960.08"/>
  </r>
  <r>
    <x v="33"/>
    <x v="42"/>
    <s v="Y"/>
    <s v="N"/>
    <n v="29269.06"/>
    <n v="2013"/>
    <s v="N"/>
    <s v="N"/>
    <n v="32745.95"/>
    <n v="3476.89"/>
  </r>
  <r>
    <x v="0"/>
    <x v="43"/>
    <s v="Y"/>
    <s v="N"/>
    <n v="31465.17"/>
    <n v="2014"/>
    <s v="N"/>
    <s v="N"/>
    <n v="29065.49"/>
    <n v="-2399.6799999999998"/>
  </r>
  <r>
    <x v="10"/>
    <x v="43"/>
    <s v="Y"/>
    <s v="N"/>
    <n v="34979.42"/>
    <n v="2014"/>
    <s v="N"/>
    <s v="N"/>
    <n v="36494.93"/>
    <n v="1515.51"/>
  </r>
  <r>
    <x v="4"/>
    <x v="43"/>
    <s v="N"/>
    <s v="Y"/>
    <n v="31289.02"/>
    <n v="2014"/>
    <s v="N"/>
    <s v="N"/>
    <n v="30576.1"/>
    <n v="-712.92"/>
  </r>
  <r>
    <x v="23"/>
    <x v="43"/>
    <s v="N"/>
    <s v="Y"/>
    <n v="19418.84"/>
    <n v="2014"/>
    <s v="N"/>
    <s v="N"/>
    <n v="17745.59"/>
    <n v="-1673.25"/>
  </r>
  <r>
    <x v="8"/>
    <x v="43"/>
    <s v="Y"/>
    <s v="N"/>
    <n v="38066.629999999997"/>
    <n v="2014"/>
    <s v="Y"/>
    <s v="N"/>
    <n v="36014.93"/>
    <n v="-2051.6999999999998"/>
  </r>
  <r>
    <x v="9"/>
    <x v="43"/>
    <s v="Y"/>
    <s v="N"/>
    <n v="46216.38"/>
    <n v="2014"/>
    <s v="Y"/>
    <s v="N"/>
    <n v="46695.519999999997"/>
    <n v="479.14"/>
  </r>
  <r>
    <x v="6"/>
    <x v="43"/>
    <s v="Y"/>
    <s v="N"/>
    <n v="22337.06"/>
    <n v="2014"/>
    <s v="N"/>
    <s v="Y"/>
    <n v="24736.15"/>
    <n v="2399.09"/>
  </r>
  <r>
    <x v="5"/>
    <x v="43"/>
    <s v="N"/>
    <s v="Y"/>
    <n v="27862.49"/>
    <n v="2014"/>
    <s v="N"/>
    <s v="Y"/>
    <n v="30155.11"/>
    <n v="2292.62"/>
  </r>
  <r>
    <x v="18"/>
    <x v="43"/>
    <s v="Y"/>
    <s v="N"/>
    <n v="41602.089999999997"/>
    <n v="2014"/>
    <s v="Y"/>
    <s v="N"/>
    <n v="43711.72"/>
    <n v="2109.63"/>
  </r>
  <r>
    <x v="32"/>
    <x v="43"/>
    <s v="N"/>
    <s v="Y"/>
    <n v="18645.68"/>
    <n v="2014"/>
    <s v="N"/>
    <s v="N"/>
    <n v="17857.580000000002"/>
    <n v="-788.1"/>
  </r>
  <r>
    <x v="1"/>
    <x v="44"/>
    <s v="Y"/>
    <s v="N"/>
    <n v="30425.59"/>
    <n v="2015"/>
    <s v="N"/>
    <s v="N"/>
    <n v="28649.23"/>
    <n v="-1776.36"/>
  </r>
  <r>
    <x v="8"/>
    <x v="44"/>
    <s v="Y"/>
    <s v="N"/>
    <n v="36014.93"/>
    <n v="2015"/>
    <s v="N"/>
    <s v="N"/>
    <n v="33654.910000000003"/>
    <n v="-2360.02"/>
  </r>
  <r>
    <x v="11"/>
    <x v="44"/>
    <s v="N"/>
    <s v="Y"/>
    <n v="24154.1"/>
    <n v="2015"/>
    <s v="Y"/>
    <s v="N"/>
    <n v="33438.879999999997"/>
    <n v="9284.7800000000007"/>
  </r>
  <r>
    <x v="30"/>
    <x v="44"/>
    <s v="Y"/>
    <s v="N"/>
    <n v="38221.42"/>
    <n v="2015"/>
    <s v="N"/>
    <s v="N"/>
    <n v="37194.629999999997"/>
    <n v="-1026.79"/>
  </r>
  <r>
    <x v="9"/>
    <x v="44"/>
    <s v="Y"/>
    <s v="N"/>
    <n v="46695.519999999997"/>
    <n v="2015"/>
    <s v="Y"/>
    <s v="N"/>
    <n v="46479.199999999997"/>
    <n v="-216.32"/>
  </r>
  <r>
    <x v="6"/>
    <x v="44"/>
    <s v="N"/>
    <s v="Y"/>
    <n v="24736.15"/>
    <n v="2015"/>
    <s v="N"/>
    <s v="N"/>
    <n v="21829.32"/>
    <n v="-2906.83"/>
  </r>
  <r>
    <x v="5"/>
    <x v="44"/>
    <s v="N"/>
    <s v="Y"/>
    <n v="30155.11"/>
    <n v="2015"/>
    <s v="N"/>
    <s v="Y"/>
    <n v="30846.86"/>
    <n v="691.75"/>
  </r>
  <r>
    <x v="7"/>
    <x v="44"/>
    <s v="N"/>
    <s v="Y"/>
    <n v="41588.85"/>
    <n v="2015"/>
    <s v="N"/>
    <s v="N"/>
    <n v="41677.56"/>
    <n v="88.71"/>
  </r>
  <r>
    <x v="18"/>
    <x v="44"/>
    <s v="Y"/>
    <s v="N"/>
    <n v="43711.72"/>
    <n v="2015"/>
    <s v="Y"/>
    <s v="N"/>
    <n v="43467.77"/>
    <n v="-243.95"/>
  </r>
  <r>
    <x v="33"/>
    <x v="44"/>
    <s v="Y"/>
    <s v="N"/>
    <n v="31844.31"/>
    <n v="2015"/>
    <s v="N"/>
    <s v="N"/>
    <n v="32343.74"/>
    <n v="499.43"/>
  </r>
  <r>
    <x v="20"/>
    <x v="45"/>
    <s v="N"/>
    <s v="Y"/>
    <n v="36038.54"/>
    <n v="2016"/>
    <s v="Y"/>
    <s v="N"/>
    <n v="39906.42"/>
    <n v="3867.88"/>
  </r>
  <r>
    <x v="15"/>
    <x v="45"/>
    <s v="N"/>
    <s v="Y"/>
    <n v="26587.47"/>
    <n v="2016"/>
    <s v="N"/>
    <s v="N"/>
    <n v="28476.83"/>
    <n v="1889.36"/>
  </r>
  <r>
    <x v="11"/>
    <x v="45"/>
    <s v="Y"/>
    <s v="N"/>
    <n v="33438.879999999997"/>
    <n v="2016"/>
    <s v="N"/>
    <s v="N"/>
    <n v="31576.69"/>
    <n v="-1862.19"/>
  </r>
  <r>
    <x v="9"/>
    <x v="45"/>
    <s v="Y"/>
    <s v="N"/>
    <n v="46479.199999999997"/>
    <n v="2016"/>
    <s v="Y"/>
    <s v="N"/>
    <n v="45719.9"/>
    <n v="-759.3"/>
  </r>
  <r>
    <x v="12"/>
    <x v="45"/>
    <s v="N"/>
    <s v="Y"/>
    <n v="39429.57"/>
    <n v="2016"/>
    <s v="N"/>
    <s v="N"/>
    <n v="37819.81"/>
    <n v="-1609.76"/>
  </r>
  <r>
    <x v="3"/>
    <x v="45"/>
    <s v="Y"/>
    <s v="N"/>
    <n v="31725.35"/>
    <n v="2016"/>
    <s v="N"/>
    <s v="Y"/>
    <n v="34439.53"/>
    <n v="2714.18"/>
  </r>
  <r>
    <x v="5"/>
    <x v="45"/>
    <s v="N"/>
    <s v="Y"/>
    <n v="30846.86"/>
    <n v="2016"/>
    <s v="N"/>
    <s v="N"/>
    <n v="27767.91"/>
    <n v="-3078.95"/>
  </r>
  <r>
    <x v="18"/>
    <x v="45"/>
    <s v="Y"/>
    <s v="N"/>
    <n v="43467.77"/>
    <n v="2016"/>
    <s v="N"/>
    <s v="N"/>
    <n v="42524.57"/>
    <n v="-943.2"/>
  </r>
  <r>
    <x v="26"/>
    <x v="45"/>
    <s v="Y"/>
    <s v="N"/>
    <n v="30763.89"/>
    <n v="2016"/>
    <s v="Y"/>
    <s v="N"/>
    <n v="33461.75"/>
    <n v="2697.86"/>
  </r>
  <r>
    <x v="22"/>
    <x v="45"/>
    <s v="Y"/>
    <s v="N"/>
    <n v="34504.83"/>
    <n v="2016"/>
    <s v="N"/>
    <s v="Y"/>
    <n v="41877.769999999997"/>
    <n v="7372.94"/>
  </r>
  <r>
    <x v="34"/>
    <x v="46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4CA51C-ADBB-4B6D-A738-077ED0BA4458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9" firstHeaderRow="1" firstDataRow="1" firstDataCol="1"/>
  <pivotFields count="1">
    <pivotField axis="axisRow" dataField="1" showAll="0" sortType="descending">
      <items count="36">
        <item x="17"/>
        <item x="29"/>
        <item x="28"/>
        <item x="0"/>
        <item x="1"/>
        <item x="10"/>
        <item x="14"/>
        <item x="19"/>
        <item x="20"/>
        <item x="4"/>
        <item x="23"/>
        <item x="24"/>
        <item x="8"/>
        <item x="27"/>
        <item x="15"/>
        <item x="11"/>
        <item x="30"/>
        <item x="9"/>
        <item x="31"/>
        <item x="2"/>
        <item x="16"/>
        <item x="12"/>
        <item x="3"/>
        <item x="6"/>
        <item x="13"/>
        <item x="5"/>
        <item x="21"/>
        <item x="25"/>
        <item x="7"/>
        <item x="18"/>
        <item x="32"/>
        <item x="26"/>
        <item x="22"/>
        <item x="33"/>
        <item x="3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0"/>
  </rowFields>
  <rowItems count="36">
    <i>
      <x v="21"/>
    </i>
    <i>
      <x v="3"/>
    </i>
    <i>
      <x v="23"/>
    </i>
    <i>
      <x v="29"/>
    </i>
    <i>
      <x v="17"/>
    </i>
    <i>
      <x v="5"/>
    </i>
    <i>
      <x v="25"/>
    </i>
    <i>
      <x v="24"/>
    </i>
    <i>
      <x v="9"/>
    </i>
    <i>
      <x v="4"/>
    </i>
    <i>
      <x v="28"/>
    </i>
    <i>
      <x v="14"/>
    </i>
    <i>
      <x v="19"/>
    </i>
    <i>
      <x v="15"/>
    </i>
    <i>
      <x v="10"/>
    </i>
    <i>
      <x v="12"/>
    </i>
    <i>
      <x v="22"/>
    </i>
    <i>
      <x v="8"/>
    </i>
    <i>
      <x v="31"/>
    </i>
    <i>
      <x v="32"/>
    </i>
    <i>
      <x v="16"/>
    </i>
    <i>
      <x v="7"/>
    </i>
    <i>
      <x v="2"/>
    </i>
    <i>
      <x v="26"/>
    </i>
    <i>
      <x v="27"/>
    </i>
    <i>
      <x v="30"/>
    </i>
    <i>
      <x v="11"/>
    </i>
    <i>
      <x v="6"/>
    </i>
    <i>
      <x v="33"/>
    </i>
    <i>
      <x v="18"/>
    </i>
    <i>
      <x v="13"/>
    </i>
    <i>
      <x v="20"/>
    </i>
    <i>
      <x/>
    </i>
    <i>
      <x v="1"/>
    </i>
    <i>
      <x v="34"/>
    </i>
    <i t="grand">
      <x/>
    </i>
  </rowItems>
  <colItems count="1">
    <i/>
  </colItems>
  <dataFields count="1">
    <dataField name="Count of team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11FFD1-218F-4C41-A3F0-C4908B2D27E6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329" firstHeaderRow="1" firstDataRow="1" firstDataCol="1"/>
  <pivotFields count="10">
    <pivotField axis="axisRow" multipleItemSelectionAllowed="1" showAll="0">
      <items count="36">
        <item x="17"/>
        <item x="29"/>
        <item x="28"/>
        <item x="0"/>
        <item x="1"/>
        <item x="10"/>
        <item x="14"/>
        <item x="19"/>
        <item x="20"/>
        <item x="4"/>
        <item x="23"/>
        <item x="24"/>
        <item x="8"/>
        <item x="27"/>
        <item x="15"/>
        <item x="11"/>
        <item x="30"/>
        <item x="9"/>
        <item x="31"/>
        <item x="2"/>
        <item x="16"/>
        <item x="12"/>
        <item x="3"/>
        <item x="6"/>
        <item x="13"/>
        <item x="5"/>
        <item x="21"/>
        <item x="25"/>
        <item x="7"/>
        <item x="18"/>
        <item x="32"/>
        <item x="26"/>
        <item x="22"/>
        <item x="33"/>
        <item h="1" x="34"/>
        <item t="default"/>
      </items>
    </pivotField>
    <pivotField axis="axisRow" showAll="0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2">
    <field x="1"/>
    <field x="0"/>
  </rowFields>
  <rowItems count="326">
    <i>
      <x/>
    </i>
    <i r="1">
      <x v="3"/>
    </i>
    <i r="1">
      <x v="4"/>
    </i>
    <i r="1">
      <x v="19"/>
    </i>
    <i r="1">
      <x v="22"/>
    </i>
    <i>
      <x v="1"/>
    </i>
    <i r="1">
      <x v="4"/>
    </i>
    <i r="1">
      <x v="9"/>
    </i>
    <i r="1">
      <x v="19"/>
    </i>
    <i r="1">
      <x v="25"/>
    </i>
    <i>
      <x v="2"/>
    </i>
    <i r="1">
      <x v="4"/>
    </i>
    <i r="1">
      <x v="23"/>
    </i>
    <i r="1">
      <x v="25"/>
    </i>
    <i r="1">
      <x v="28"/>
    </i>
    <i>
      <x v="3"/>
    </i>
    <i r="1">
      <x v="9"/>
    </i>
    <i r="1">
      <x v="12"/>
    </i>
    <i r="1">
      <x v="23"/>
    </i>
    <i r="1">
      <x v="25"/>
    </i>
    <i>
      <x v="4"/>
    </i>
    <i r="1">
      <x v="4"/>
    </i>
    <i r="1">
      <x v="9"/>
    </i>
    <i r="1">
      <x v="22"/>
    </i>
    <i r="1">
      <x v="23"/>
    </i>
    <i>
      <x v="5"/>
    </i>
    <i r="1">
      <x v="4"/>
    </i>
    <i r="1">
      <x v="17"/>
    </i>
    <i r="1">
      <x v="23"/>
    </i>
    <i r="1">
      <x v="25"/>
    </i>
    <i>
      <x v="6"/>
    </i>
    <i r="1">
      <x v="5"/>
    </i>
    <i r="1">
      <x v="9"/>
    </i>
    <i r="1">
      <x v="23"/>
    </i>
    <i r="1">
      <x v="25"/>
    </i>
    <i>
      <x v="7"/>
    </i>
    <i r="1">
      <x v="9"/>
    </i>
    <i r="1">
      <x v="15"/>
    </i>
    <i r="1">
      <x v="21"/>
    </i>
    <i r="1">
      <x v="24"/>
    </i>
    <i>
      <x v="8"/>
    </i>
    <i r="1">
      <x v="15"/>
    </i>
    <i r="1">
      <x v="17"/>
    </i>
    <i r="1">
      <x v="21"/>
    </i>
    <i r="1">
      <x v="24"/>
    </i>
    <i>
      <x v="9"/>
    </i>
    <i r="1">
      <x v="15"/>
    </i>
    <i r="1">
      <x v="17"/>
    </i>
    <i r="1">
      <x v="21"/>
    </i>
    <i r="1">
      <x v="24"/>
    </i>
    <i>
      <x v="10"/>
    </i>
    <i r="1">
      <x v="4"/>
    </i>
    <i r="1">
      <x v="6"/>
    </i>
    <i r="1">
      <x v="9"/>
    </i>
    <i r="1">
      <x v="25"/>
    </i>
    <i>
      <x v="11"/>
    </i>
    <i r="1">
      <x v="14"/>
    </i>
    <i r="1">
      <x v="15"/>
    </i>
    <i r="1">
      <x v="21"/>
    </i>
    <i r="1">
      <x v="24"/>
    </i>
    <i>
      <x v="12"/>
    </i>
    <i r="1">
      <x/>
    </i>
    <i r="1">
      <x v="14"/>
    </i>
    <i r="1">
      <x v="15"/>
    </i>
    <i r="1">
      <x v="17"/>
    </i>
    <i r="1">
      <x v="20"/>
    </i>
    <i r="1">
      <x v="21"/>
    </i>
    <i r="1">
      <x v="23"/>
    </i>
    <i r="1">
      <x v="24"/>
    </i>
    <i>
      <x v="13"/>
    </i>
    <i r="1">
      <x v="3"/>
    </i>
    <i r="1">
      <x v="6"/>
    </i>
    <i r="1">
      <x v="20"/>
    </i>
    <i r="1">
      <x v="29"/>
    </i>
    <i>
      <x v="14"/>
    </i>
    <i r="1">
      <x v="4"/>
    </i>
    <i r="1">
      <x v="7"/>
    </i>
    <i r="1">
      <x v="17"/>
    </i>
    <i r="1">
      <x v="24"/>
    </i>
    <i>
      <x v="15"/>
    </i>
    <i r="1">
      <x v="8"/>
    </i>
    <i r="1">
      <x v="12"/>
    </i>
    <i r="1">
      <x v="15"/>
    </i>
    <i r="1">
      <x v="26"/>
    </i>
    <i>
      <x v="16"/>
    </i>
    <i r="1">
      <x v="15"/>
    </i>
    <i r="1">
      <x v="17"/>
    </i>
    <i r="1">
      <x v="29"/>
    </i>
    <i r="1">
      <x v="32"/>
    </i>
    <i>
      <x v="17"/>
    </i>
    <i r="1">
      <x v="5"/>
    </i>
    <i r="1">
      <x v="6"/>
    </i>
    <i r="1">
      <x v="14"/>
    </i>
    <i r="1">
      <x v="22"/>
    </i>
    <i>
      <x v="18"/>
    </i>
    <i r="1">
      <x v="12"/>
    </i>
    <i r="1">
      <x v="19"/>
    </i>
    <i r="1">
      <x v="28"/>
    </i>
    <i r="1">
      <x v="29"/>
    </i>
    <i>
      <x v="19"/>
    </i>
    <i r="1">
      <x v="5"/>
    </i>
    <i r="1">
      <x v="17"/>
    </i>
    <i r="1">
      <x v="22"/>
    </i>
    <i r="1">
      <x v="23"/>
    </i>
    <i>
      <x v="20"/>
    </i>
    <i r="1">
      <x v="8"/>
    </i>
    <i r="1">
      <x v="23"/>
    </i>
    <i r="1">
      <x v="28"/>
    </i>
    <i r="1">
      <x v="32"/>
    </i>
    <i>
      <x v="21"/>
    </i>
    <i r="1">
      <x v="5"/>
    </i>
    <i r="1">
      <x v="9"/>
    </i>
    <i r="1">
      <x v="23"/>
    </i>
    <i r="1">
      <x v="25"/>
    </i>
    <i>
      <x v="22"/>
    </i>
    <i r="1">
      <x v="3"/>
    </i>
    <i r="1">
      <x v="19"/>
    </i>
    <i r="1">
      <x v="25"/>
    </i>
    <i r="1">
      <x v="32"/>
    </i>
    <i>
      <x v="23"/>
    </i>
    <i r="1">
      <x v="3"/>
    </i>
    <i r="1">
      <x v="23"/>
    </i>
    <i r="1">
      <x v="25"/>
    </i>
    <i r="1">
      <x v="32"/>
    </i>
    <i>
      <x v="24"/>
    </i>
    <i r="1">
      <x v="3"/>
    </i>
    <i r="1">
      <x v="7"/>
    </i>
    <i r="1">
      <x v="24"/>
    </i>
    <i r="1">
      <x v="32"/>
    </i>
    <i>
      <x v="25"/>
    </i>
    <i r="1">
      <x v="3"/>
    </i>
    <i r="1">
      <x v="5"/>
    </i>
    <i r="1">
      <x v="9"/>
    </i>
    <i r="1">
      <x v="10"/>
    </i>
    <i r="1">
      <x v="11"/>
    </i>
    <i r="1">
      <x v="17"/>
    </i>
    <i r="1">
      <x v="21"/>
    </i>
    <i r="1">
      <x v="27"/>
    </i>
    <i>
      <x v="26"/>
    </i>
    <i r="1">
      <x v="3"/>
    </i>
    <i r="1">
      <x v="4"/>
    </i>
    <i r="1">
      <x v="10"/>
    </i>
    <i r="1">
      <x v="17"/>
    </i>
    <i r="1">
      <x v="21"/>
    </i>
    <i r="1">
      <x v="26"/>
    </i>
    <i r="1">
      <x v="29"/>
    </i>
    <i r="1">
      <x v="31"/>
    </i>
    <i>
      <x v="27"/>
    </i>
    <i r="1">
      <x v="3"/>
    </i>
    <i r="1">
      <x v="4"/>
    </i>
    <i r="1">
      <x v="10"/>
    </i>
    <i r="1">
      <x v="13"/>
    </i>
    <i r="1">
      <x v="14"/>
    </i>
    <i r="1">
      <x v="21"/>
    </i>
    <i r="1">
      <x v="27"/>
    </i>
    <i r="1">
      <x v="28"/>
    </i>
    <i>
      <x v="28"/>
    </i>
    <i r="1">
      <x v="3"/>
    </i>
    <i r="1">
      <x v="5"/>
    </i>
    <i r="1">
      <x v="8"/>
    </i>
    <i r="1">
      <x v="10"/>
    </i>
    <i r="1">
      <x v="14"/>
    </i>
    <i r="1">
      <x v="21"/>
    </i>
    <i r="1">
      <x v="26"/>
    </i>
    <i r="1">
      <x v="31"/>
    </i>
    <i>
      <x v="29"/>
    </i>
    <i r="1">
      <x v="2"/>
    </i>
    <i r="1">
      <x v="3"/>
    </i>
    <i r="1">
      <x v="5"/>
    </i>
    <i r="1">
      <x v="10"/>
    </i>
    <i r="1">
      <x v="14"/>
    </i>
    <i r="1">
      <x v="21"/>
    </i>
    <i r="1">
      <x v="22"/>
    </i>
    <i r="1">
      <x v="31"/>
    </i>
    <i>
      <x v="30"/>
    </i>
    <i r="1">
      <x v="3"/>
    </i>
    <i r="1">
      <x v="7"/>
    </i>
    <i r="1">
      <x v="21"/>
    </i>
    <i r="1">
      <x v="22"/>
    </i>
    <i r="1">
      <x v="23"/>
    </i>
    <i r="1">
      <x v="27"/>
    </i>
    <i r="1">
      <x v="28"/>
    </i>
    <i r="1">
      <x v="29"/>
    </i>
    <i>
      <x v="31"/>
    </i>
    <i r="1">
      <x v="2"/>
    </i>
    <i r="1">
      <x v="3"/>
    </i>
    <i r="1">
      <x v="10"/>
    </i>
    <i r="1">
      <x v="14"/>
    </i>
    <i r="1">
      <x v="21"/>
    </i>
    <i r="1">
      <x v="23"/>
    </i>
    <i r="1">
      <x v="27"/>
    </i>
    <i r="1">
      <x v="29"/>
    </i>
    <i>
      <x v="32"/>
    </i>
    <i r="1">
      <x v="1"/>
    </i>
    <i r="1">
      <x v="2"/>
    </i>
    <i r="1">
      <x v="3"/>
    </i>
    <i r="1">
      <x v="19"/>
    </i>
    <i r="1">
      <x v="21"/>
    </i>
    <i r="1">
      <x v="23"/>
    </i>
    <i r="1">
      <x v="28"/>
    </i>
    <i r="1">
      <x v="29"/>
    </i>
    <i>
      <x v="33"/>
    </i>
    <i r="1">
      <x v="3"/>
    </i>
    <i r="1">
      <x v="5"/>
    </i>
    <i r="1">
      <x v="8"/>
    </i>
    <i r="1">
      <x v="13"/>
    </i>
    <i r="1">
      <x v="19"/>
    </i>
    <i r="1">
      <x v="21"/>
    </i>
    <i r="1">
      <x v="23"/>
    </i>
    <i r="1">
      <x v="28"/>
    </i>
    <i>
      <x v="34"/>
    </i>
    <i r="1">
      <x v="3"/>
    </i>
    <i r="1">
      <x v="5"/>
    </i>
    <i r="1">
      <x v="14"/>
    </i>
    <i r="1">
      <x v="17"/>
    </i>
    <i r="1">
      <x v="19"/>
    </i>
    <i r="1">
      <x v="21"/>
    </i>
    <i r="1">
      <x v="29"/>
    </i>
    <i>
      <x v="35"/>
    </i>
    <i r="1">
      <x v="3"/>
    </i>
    <i r="1">
      <x v="5"/>
    </i>
    <i r="1">
      <x v="7"/>
    </i>
    <i r="1">
      <x v="14"/>
    </i>
    <i r="1">
      <x v="16"/>
    </i>
    <i r="1">
      <x v="21"/>
    </i>
    <i r="1">
      <x v="26"/>
    </i>
    <i r="1">
      <x v="29"/>
    </i>
    <i>
      <x v="36"/>
    </i>
    <i r="1">
      <x v="12"/>
    </i>
    <i r="1">
      <x v="17"/>
    </i>
    <i r="1">
      <x v="19"/>
    </i>
    <i r="1">
      <x v="21"/>
    </i>
    <i r="1">
      <x v="22"/>
    </i>
    <i r="1">
      <x v="23"/>
    </i>
    <i r="1">
      <x v="26"/>
    </i>
    <i r="1">
      <x v="29"/>
    </i>
    <i>
      <x v="37"/>
    </i>
    <i r="1">
      <x v="2"/>
    </i>
    <i r="1">
      <x v="5"/>
    </i>
    <i r="1">
      <x v="8"/>
    </i>
    <i r="1">
      <x v="10"/>
    </i>
    <i r="1">
      <x v="11"/>
    </i>
    <i r="1">
      <x v="16"/>
    </i>
    <i r="1">
      <x v="21"/>
    </i>
    <i r="1">
      <x v="24"/>
    </i>
    <i>
      <x v="38"/>
    </i>
    <i r="1">
      <x v="5"/>
    </i>
    <i r="1">
      <x v="7"/>
    </i>
    <i r="1">
      <x v="8"/>
    </i>
    <i r="1">
      <x v="16"/>
    </i>
    <i r="1">
      <x v="17"/>
    </i>
    <i r="1">
      <x v="18"/>
    </i>
    <i r="1">
      <x v="24"/>
    </i>
    <i r="1">
      <x v="30"/>
    </i>
    <i>
      <x v="39"/>
    </i>
    <i r="1">
      <x v="5"/>
    </i>
    <i r="1">
      <x v="11"/>
    </i>
    <i r="1">
      <x v="16"/>
    </i>
    <i r="1">
      <x v="17"/>
    </i>
    <i r="1">
      <x v="19"/>
    </i>
    <i r="1">
      <x v="21"/>
    </i>
    <i r="1">
      <x v="24"/>
    </i>
    <i r="1">
      <x v="29"/>
    </i>
    <i>
      <x v="40"/>
    </i>
    <i r="1">
      <x v="3"/>
    </i>
    <i r="1">
      <x v="9"/>
    </i>
    <i r="1">
      <x v="19"/>
    </i>
    <i r="1">
      <x v="21"/>
    </i>
    <i r="1">
      <x v="24"/>
    </i>
    <i r="1">
      <x v="28"/>
    </i>
    <i r="1">
      <x v="30"/>
    </i>
    <i r="1">
      <x v="31"/>
    </i>
    <i>
      <x v="41"/>
    </i>
    <i r="1">
      <x v="2"/>
    </i>
    <i r="1">
      <x v="12"/>
    </i>
    <i r="1">
      <x v="18"/>
    </i>
    <i r="1">
      <x v="21"/>
    </i>
    <i r="1">
      <x v="24"/>
    </i>
    <i r="1">
      <x v="29"/>
    </i>
    <i r="1">
      <x v="30"/>
    </i>
    <i r="1">
      <x v="31"/>
    </i>
    <i>
      <x v="42"/>
    </i>
    <i r="1">
      <x v="3"/>
    </i>
    <i r="1">
      <x v="4"/>
    </i>
    <i r="1">
      <x v="9"/>
    </i>
    <i r="1">
      <x v="12"/>
    </i>
    <i r="1">
      <x v="21"/>
    </i>
    <i r="1">
      <x v="23"/>
    </i>
    <i r="1">
      <x v="28"/>
    </i>
    <i r="1">
      <x v="29"/>
    </i>
    <i r="1">
      <x v="31"/>
    </i>
    <i r="1">
      <x v="33"/>
    </i>
    <i>
      <x v="43"/>
    </i>
    <i r="1">
      <x v="3"/>
    </i>
    <i r="1">
      <x v="5"/>
    </i>
    <i r="1">
      <x v="9"/>
    </i>
    <i r="1">
      <x v="10"/>
    </i>
    <i r="1">
      <x v="12"/>
    </i>
    <i r="1">
      <x v="17"/>
    </i>
    <i r="1">
      <x v="23"/>
    </i>
    <i r="1">
      <x v="25"/>
    </i>
    <i r="1">
      <x v="29"/>
    </i>
    <i r="1">
      <x v="30"/>
    </i>
    <i>
      <x v="44"/>
    </i>
    <i r="1">
      <x v="4"/>
    </i>
    <i r="1">
      <x v="12"/>
    </i>
    <i r="1">
      <x v="15"/>
    </i>
    <i r="1">
      <x v="16"/>
    </i>
    <i r="1">
      <x v="17"/>
    </i>
    <i r="1">
      <x v="23"/>
    </i>
    <i r="1">
      <x v="25"/>
    </i>
    <i r="1">
      <x v="28"/>
    </i>
    <i r="1">
      <x v="29"/>
    </i>
    <i r="1">
      <x v="33"/>
    </i>
    <i>
      <x v="45"/>
    </i>
    <i r="1">
      <x v="8"/>
    </i>
    <i r="1">
      <x v="14"/>
    </i>
    <i r="1">
      <x v="15"/>
    </i>
    <i r="1">
      <x v="17"/>
    </i>
    <i r="1">
      <x v="21"/>
    </i>
    <i r="1">
      <x v="22"/>
    </i>
    <i r="1">
      <x v="25"/>
    </i>
    <i r="1">
      <x v="29"/>
    </i>
    <i r="1">
      <x v="31"/>
    </i>
    <i r="1">
      <x v="32"/>
    </i>
    <i t="grand">
      <x/>
    </i>
  </rowItems>
  <colItems count="1">
    <i/>
  </colItems>
  <dataFields count="1">
    <dataField name="Sum of attendance_growth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9469F82-DCC6-4361-84AA-AEAC1B916286}" autoFormatId="16" applyNumberFormats="0" applyBorderFormats="0" applyFontFormats="0" applyPatternFormats="0" applyAlignmentFormats="0" applyWidthHeightFormats="0">
  <queryTableRefresh nextId="11">
    <queryTableFields count="10">
      <queryTableField id="1" name="team" tableColumnId="1"/>
      <queryTableField id="2" name="win_year" tableColumnId="2"/>
      <queryTableField id="3" name="divwin" tableColumnId="3"/>
      <queryTableField id="4" name="wcwin" tableColumnId="4"/>
      <queryTableField id="5" name="po_win_avg_home_attendance" tableColumnId="5"/>
      <queryTableField id="6" name="po_next_year" tableColumnId="6"/>
      <queryTableField id="7" name="divwin-2" tableColumnId="7"/>
      <queryTableField id="8" name="wcwin-2" tableColumnId="8"/>
      <queryTableField id="9" name="po_next_year_avg_home_attendance" tableColumnId="9"/>
      <queryTableField id="10" name="attendance_growth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5514DF-1424-4DF2-9FA8-0F519C5E72AF}" name="attendance_after_making_playoffs" displayName="attendance_after_making_playoffs" ref="A1:J280" tableType="queryTable" totalsRowShown="0">
  <autoFilter ref="A1:J280" xr:uid="{575514DF-1424-4DF2-9FA8-0F519C5E72AF}"/>
  <tableColumns count="10">
    <tableColumn id="1" xr3:uid="{B16750DF-4E29-4692-8A00-FD183CD0213B}" uniqueName="1" name="team" queryTableFieldId="1" dataDxfId="4"/>
    <tableColumn id="2" xr3:uid="{C084E798-10EE-4707-A719-B44BDDAB1374}" uniqueName="2" name="win_year" queryTableFieldId="2"/>
    <tableColumn id="3" xr3:uid="{7A71A49F-BBE2-42C6-AF8F-62CBF0082325}" uniqueName="3" name="divwin" queryTableFieldId="3" dataDxfId="3"/>
    <tableColumn id="4" xr3:uid="{B6E19774-87F1-48D9-A441-544421D8F6E0}" uniqueName="4" name="wcwin" queryTableFieldId="4" dataDxfId="2"/>
    <tableColumn id="5" xr3:uid="{1BCE9130-C8AE-4CC4-86B1-293E195B88C6}" uniqueName="5" name="po_win_avg_home_attendance" queryTableFieldId="5"/>
    <tableColumn id="6" xr3:uid="{72A862E1-3CEC-4A82-83D3-D4A5B08790E0}" uniqueName="6" name="po_next_year" queryTableFieldId="6"/>
    <tableColumn id="7" xr3:uid="{6FA019CF-905C-442B-B677-17D3DDF628BC}" uniqueName="7" name="divwin-2" queryTableFieldId="7" dataDxfId="1"/>
    <tableColumn id="8" xr3:uid="{92268224-E68F-457B-BED8-FDBAC7C597D2}" uniqueName="8" name="wcwin-2" queryTableFieldId="8" dataDxfId="0"/>
    <tableColumn id="9" xr3:uid="{57FB233C-4169-4F54-B6F5-9519A356A002}" uniqueName="9" name="po_next_year_avg_home_attendance" queryTableFieldId="9"/>
    <tableColumn id="10" xr3:uid="{219E4C8A-27F5-424D-8957-9E20B5F84837}" uniqueName="10" name="attendance_growth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96109-A5BE-46C1-A6DC-09E4465210C6}">
  <dimension ref="A1:M280"/>
  <sheetViews>
    <sheetView workbookViewId="0">
      <selection sqref="A1:J1048576"/>
    </sheetView>
  </sheetViews>
  <sheetFormatPr defaultRowHeight="15" x14ac:dyDescent="0.25"/>
  <cols>
    <col min="1" max="1" width="7.85546875" bestFit="1" customWidth="1"/>
    <col min="2" max="2" width="11.140625" bestFit="1" customWidth="1"/>
    <col min="4" max="4" width="8.85546875" bestFit="1" customWidth="1"/>
    <col min="5" max="5" width="31" bestFit="1" customWidth="1"/>
    <col min="6" max="6" width="15.140625" bestFit="1" customWidth="1"/>
    <col min="7" max="7" width="10.85546875" bestFit="1" customWidth="1"/>
    <col min="8" max="8" width="10.5703125" bestFit="1" customWidth="1"/>
    <col min="9" max="9" width="36.85546875" bestFit="1" customWidth="1"/>
    <col min="10" max="10" width="20.7109375" bestFit="1" customWidth="1"/>
    <col min="12" max="12" width="23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L1" t="s">
        <v>47</v>
      </c>
      <c r="M1">
        <f>COUNTIF(J:J,"&lt;0")</f>
        <v>118</v>
      </c>
    </row>
    <row r="2" spans="1:13" x14ac:dyDescent="0.25">
      <c r="A2" s="1" t="s">
        <v>10</v>
      </c>
      <c r="B2">
        <v>1969</v>
      </c>
      <c r="C2" s="1" t="s">
        <v>11</v>
      </c>
      <c r="D2" s="1" t="s">
        <v>12</v>
      </c>
      <c r="E2">
        <v>18531.439999999999</v>
      </c>
      <c r="F2">
        <v>1970</v>
      </c>
      <c r="G2" s="1" t="s">
        <v>13</v>
      </c>
      <c r="H2" s="1" t="s">
        <v>12</v>
      </c>
      <c r="I2">
        <v>13318.52</v>
      </c>
      <c r="J2">
        <v>-5212.92</v>
      </c>
      <c r="L2" t="s">
        <v>48</v>
      </c>
      <c r="M2">
        <f>COUNTIF(J:J,"&gt;0")</f>
        <v>161</v>
      </c>
    </row>
    <row r="3" spans="1:13" x14ac:dyDescent="0.25">
      <c r="A3" s="1" t="s">
        <v>14</v>
      </c>
      <c r="B3">
        <v>1969</v>
      </c>
      <c r="C3" s="1" t="s">
        <v>11</v>
      </c>
      <c r="D3" s="1" t="s">
        <v>12</v>
      </c>
      <c r="E3">
        <v>12498.37</v>
      </c>
      <c r="F3">
        <v>1970</v>
      </c>
      <c r="G3" s="1" t="s">
        <v>11</v>
      </c>
      <c r="H3" s="1" t="s">
        <v>12</v>
      </c>
      <c r="I3">
        <v>12690.17</v>
      </c>
      <c r="J3">
        <v>191.8</v>
      </c>
      <c r="L3" t="s">
        <v>49</v>
      </c>
      <c r="M3">
        <f>M2*100/(M1+M2)</f>
        <v>57.706093189964157</v>
      </c>
    </row>
    <row r="4" spans="1:13" x14ac:dyDescent="0.25">
      <c r="A4" s="1" t="s">
        <v>15</v>
      </c>
      <c r="B4">
        <v>1969</v>
      </c>
      <c r="C4" s="1" t="s">
        <v>11</v>
      </c>
      <c r="D4" s="1" t="s">
        <v>12</v>
      </c>
      <c r="E4">
        <v>16288.73</v>
      </c>
      <c r="F4">
        <v>1970</v>
      </c>
      <c r="G4" s="1" t="s">
        <v>11</v>
      </c>
      <c r="H4" s="1" t="s">
        <v>12</v>
      </c>
      <c r="I4">
        <v>15446.15</v>
      </c>
      <c r="J4">
        <v>-842.58</v>
      </c>
      <c r="L4" t="s">
        <v>50</v>
      </c>
      <c r="M4">
        <f>SUMIF(J:J, "&gt;0")</f>
        <v>407852.89000000025</v>
      </c>
    </row>
    <row r="5" spans="1:13" x14ac:dyDescent="0.25">
      <c r="A5" s="1" t="s">
        <v>16</v>
      </c>
      <c r="B5">
        <v>1969</v>
      </c>
      <c r="C5" s="1" t="s">
        <v>11</v>
      </c>
      <c r="D5" s="1" t="s">
        <v>12</v>
      </c>
      <c r="E5">
        <v>26732.82</v>
      </c>
      <c r="F5">
        <v>1970</v>
      </c>
      <c r="G5" s="1" t="s">
        <v>13</v>
      </c>
      <c r="H5" s="1" t="s">
        <v>12</v>
      </c>
      <c r="I5">
        <v>32895.800000000003</v>
      </c>
      <c r="J5">
        <v>6162.98</v>
      </c>
      <c r="L5" t="s">
        <v>51</v>
      </c>
      <c r="M5">
        <f>SUMIF(J:J, "&lt;0")</f>
        <v>-255005.8300000001</v>
      </c>
    </row>
    <row r="6" spans="1:13" x14ac:dyDescent="0.25">
      <c r="A6" s="1" t="s">
        <v>14</v>
      </c>
      <c r="B6">
        <v>1970</v>
      </c>
      <c r="C6" s="1" t="s">
        <v>11</v>
      </c>
      <c r="D6" s="1" t="s">
        <v>12</v>
      </c>
      <c r="E6">
        <v>12690.17</v>
      </c>
      <c r="F6">
        <v>1971</v>
      </c>
      <c r="G6" s="1" t="s">
        <v>11</v>
      </c>
      <c r="H6" s="1" t="s">
        <v>12</v>
      </c>
      <c r="I6">
        <v>13416.04</v>
      </c>
      <c r="J6">
        <v>725.87</v>
      </c>
    </row>
    <row r="7" spans="1:13" x14ac:dyDescent="0.25">
      <c r="A7" s="1" t="s">
        <v>17</v>
      </c>
      <c r="B7">
        <v>1970</v>
      </c>
      <c r="C7" s="1" t="s">
        <v>11</v>
      </c>
      <c r="D7" s="1" t="s">
        <v>12</v>
      </c>
      <c r="E7">
        <v>22373.21</v>
      </c>
      <c r="F7">
        <v>1971</v>
      </c>
      <c r="G7" s="1" t="s">
        <v>13</v>
      </c>
      <c r="H7" s="1" t="s">
        <v>12</v>
      </c>
      <c r="I7">
        <v>18532.41</v>
      </c>
      <c r="J7">
        <v>-3840.8</v>
      </c>
    </row>
    <row r="8" spans="1:13" x14ac:dyDescent="0.25">
      <c r="A8" s="1" t="s">
        <v>15</v>
      </c>
      <c r="B8">
        <v>1970</v>
      </c>
      <c r="C8" s="1" t="s">
        <v>11</v>
      </c>
      <c r="D8" s="1" t="s">
        <v>12</v>
      </c>
      <c r="E8">
        <v>15446.15</v>
      </c>
      <c r="F8">
        <v>1971</v>
      </c>
      <c r="G8" s="1" t="s">
        <v>13</v>
      </c>
      <c r="H8" s="1" t="s">
        <v>12</v>
      </c>
      <c r="I8">
        <v>11909.47</v>
      </c>
      <c r="J8">
        <v>-3536.68</v>
      </c>
    </row>
    <row r="9" spans="1:13" x14ac:dyDescent="0.25">
      <c r="A9" s="1" t="s">
        <v>18</v>
      </c>
      <c r="B9">
        <v>1970</v>
      </c>
      <c r="C9" s="1" t="s">
        <v>11</v>
      </c>
      <c r="D9" s="1" t="s">
        <v>12</v>
      </c>
      <c r="E9">
        <v>16365.94</v>
      </c>
      <c r="F9">
        <v>1971</v>
      </c>
      <c r="G9" s="1" t="s">
        <v>11</v>
      </c>
      <c r="H9" s="1" t="s">
        <v>12</v>
      </c>
      <c r="I9">
        <v>19254.599999999999</v>
      </c>
      <c r="J9">
        <v>2888.66</v>
      </c>
    </row>
    <row r="10" spans="1:13" x14ac:dyDescent="0.25">
      <c r="A10" s="1" t="s">
        <v>14</v>
      </c>
      <c r="B10">
        <v>1971</v>
      </c>
      <c r="C10" s="1" t="s">
        <v>11</v>
      </c>
      <c r="D10" s="1" t="s">
        <v>12</v>
      </c>
      <c r="E10">
        <v>13416.04</v>
      </c>
      <c r="F10">
        <v>1972</v>
      </c>
      <c r="G10" s="1" t="s">
        <v>13</v>
      </c>
      <c r="H10" s="1" t="s">
        <v>12</v>
      </c>
      <c r="I10">
        <v>12003.18</v>
      </c>
      <c r="J10">
        <v>-1412.86</v>
      </c>
    </row>
    <row r="11" spans="1:13" x14ac:dyDescent="0.25">
      <c r="A11" s="1" t="s">
        <v>19</v>
      </c>
      <c r="B11">
        <v>1971</v>
      </c>
      <c r="C11" s="1" t="s">
        <v>11</v>
      </c>
      <c r="D11" s="1" t="s">
        <v>12</v>
      </c>
      <c r="E11">
        <v>11207.84</v>
      </c>
      <c r="F11">
        <v>1972</v>
      </c>
      <c r="G11" s="1" t="s">
        <v>11</v>
      </c>
      <c r="H11" s="1" t="s">
        <v>12</v>
      </c>
      <c r="I11">
        <v>12046.03</v>
      </c>
      <c r="J11">
        <v>838.19</v>
      </c>
    </row>
    <row r="12" spans="1:13" x14ac:dyDescent="0.25">
      <c r="A12" s="1" t="s">
        <v>18</v>
      </c>
      <c r="B12">
        <v>1971</v>
      </c>
      <c r="C12" s="1" t="s">
        <v>11</v>
      </c>
      <c r="D12" s="1" t="s">
        <v>12</v>
      </c>
      <c r="E12">
        <v>19254.599999999999</v>
      </c>
      <c r="F12">
        <v>1972</v>
      </c>
      <c r="G12" s="1" t="s">
        <v>11</v>
      </c>
      <c r="H12" s="1" t="s">
        <v>12</v>
      </c>
      <c r="I12">
        <v>19499.599999999999</v>
      </c>
      <c r="J12">
        <v>245</v>
      </c>
    </row>
    <row r="13" spans="1:13" x14ac:dyDescent="0.25">
      <c r="A13" s="1" t="s">
        <v>20</v>
      </c>
      <c r="B13">
        <v>1971</v>
      </c>
      <c r="C13" s="1" t="s">
        <v>11</v>
      </c>
      <c r="D13" s="1" t="s">
        <v>12</v>
      </c>
      <c r="E13">
        <v>13825.11</v>
      </c>
      <c r="F13">
        <v>1972</v>
      </c>
      <c r="G13" s="1" t="s">
        <v>13</v>
      </c>
      <c r="H13" s="1" t="s">
        <v>12</v>
      </c>
      <c r="I13">
        <v>8384.1299999999992</v>
      </c>
      <c r="J13">
        <v>-5440.98</v>
      </c>
    </row>
    <row r="14" spans="1:13" x14ac:dyDescent="0.25">
      <c r="A14" s="1" t="s">
        <v>17</v>
      </c>
      <c r="B14">
        <v>1972</v>
      </c>
      <c r="C14" s="1" t="s">
        <v>11</v>
      </c>
      <c r="D14" s="1" t="s">
        <v>12</v>
      </c>
      <c r="E14">
        <v>21422.07</v>
      </c>
      <c r="F14">
        <v>1973</v>
      </c>
      <c r="G14" s="1" t="s">
        <v>11</v>
      </c>
      <c r="H14" s="1" t="s">
        <v>12</v>
      </c>
      <c r="I14">
        <v>24911.37</v>
      </c>
      <c r="J14">
        <v>3489.3</v>
      </c>
    </row>
    <row r="15" spans="1:13" x14ac:dyDescent="0.25">
      <c r="A15" s="1" t="s">
        <v>21</v>
      </c>
      <c r="B15">
        <v>1972</v>
      </c>
      <c r="C15" s="1" t="s">
        <v>11</v>
      </c>
      <c r="D15" s="1" t="s">
        <v>12</v>
      </c>
      <c r="E15">
        <v>24856.29</v>
      </c>
      <c r="F15">
        <v>1973</v>
      </c>
      <c r="G15" s="1" t="s">
        <v>13</v>
      </c>
      <c r="H15" s="1" t="s">
        <v>12</v>
      </c>
      <c r="I15">
        <v>21285.75</v>
      </c>
      <c r="J15">
        <v>-3570.54</v>
      </c>
    </row>
    <row r="16" spans="1:13" x14ac:dyDescent="0.25">
      <c r="A16" s="1" t="s">
        <v>19</v>
      </c>
      <c r="B16">
        <v>1972</v>
      </c>
      <c r="C16" s="1" t="s">
        <v>11</v>
      </c>
      <c r="D16" s="1" t="s">
        <v>12</v>
      </c>
      <c r="E16">
        <v>12046.03</v>
      </c>
      <c r="F16">
        <v>1973</v>
      </c>
      <c r="G16" s="1" t="s">
        <v>11</v>
      </c>
      <c r="H16" s="1" t="s">
        <v>12</v>
      </c>
      <c r="I16">
        <v>12346.23</v>
      </c>
      <c r="J16">
        <v>300.2</v>
      </c>
    </row>
    <row r="17" spans="1:10" x14ac:dyDescent="0.25">
      <c r="A17" s="1" t="s">
        <v>18</v>
      </c>
      <c r="B17">
        <v>1972</v>
      </c>
      <c r="C17" s="1" t="s">
        <v>11</v>
      </c>
      <c r="D17" s="1" t="s">
        <v>12</v>
      </c>
      <c r="E17">
        <v>19499.599999999999</v>
      </c>
      <c r="F17">
        <v>1973</v>
      </c>
      <c r="G17" s="1" t="s">
        <v>13</v>
      </c>
      <c r="H17" s="1" t="s">
        <v>12</v>
      </c>
      <c r="I17">
        <v>16278.49</v>
      </c>
      <c r="J17">
        <v>-3221.11</v>
      </c>
    </row>
    <row r="18" spans="1:10" x14ac:dyDescent="0.25">
      <c r="A18" s="1" t="s">
        <v>14</v>
      </c>
      <c r="B18">
        <v>1973</v>
      </c>
      <c r="C18" s="1" t="s">
        <v>11</v>
      </c>
      <c r="D18" s="1" t="s">
        <v>12</v>
      </c>
      <c r="E18">
        <v>11855.64</v>
      </c>
      <c r="F18">
        <v>1974</v>
      </c>
      <c r="G18" s="1" t="s">
        <v>11</v>
      </c>
      <c r="H18" s="1" t="s">
        <v>12</v>
      </c>
      <c r="I18">
        <v>11884.2</v>
      </c>
      <c r="J18">
        <v>28.56</v>
      </c>
    </row>
    <row r="19" spans="1:10" x14ac:dyDescent="0.25">
      <c r="A19" s="1" t="s">
        <v>17</v>
      </c>
      <c r="B19">
        <v>1973</v>
      </c>
      <c r="C19" s="1" t="s">
        <v>11</v>
      </c>
      <c r="D19" s="1" t="s">
        <v>12</v>
      </c>
      <c r="E19">
        <v>24911.37</v>
      </c>
      <c r="F19">
        <v>1974</v>
      </c>
      <c r="G19" s="1" t="s">
        <v>13</v>
      </c>
      <c r="H19" s="1" t="s">
        <v>12</v>
      </c>
      <c r="I19">
        <v>26027.439999999999</v>
      </c>
      <c r="J19">
        <v>1116.07</v>
      </c>
    </row>
    <row r="20" spans="1:10" x14ac:dyDescent="0.25">
      <c r="A20" s="1" t="s">
        <v>16</v>
      </c>
      <c r="B20">
        <v>1973</v>
      </c>
      <c r="C20" s="1" t="s">
        <v>11</v>
      </c>
      <c r="D20" s="1" t="s">
        <v>12</v>
      </c>
      <c r="E20">
        <v>23638.21</v>
      </c>
      <c r="F20">
        <v>1974</v>
      </c>
      <c r="G20" s="1" t="s">
        <v>13</v>
      </c>
      <c r="H20" s="1" t="s">
        <v>12</v>
      </c>
      <c r="I20">
        <v>21325.040000000001</v>
      </c>
      <c r="J20">
        <v>-2313.17</v>
      </c>
    </row>
    <row r="21" spans="1:10" x14ac:dyDescent="0.25">
      <c r="A21" s="1" t="s">
        <v>19</v>
      </c>
      <c r="B21">
        <v>1973</v>
      </c>
      <c r="C21" s="1" t="s">
        <v>11</v>
      </c>
      <c r="D21" s="1" t="s">
        <v>12</v>
      </c>
      <c r="E21">
        <v>12346.23</v>
      </c>
      <c r="F21">
        <v>1974</v>
      </c>
      <c r="G21" s="1" t="s">
        <v>11</v>
      </c>
      <c r="H21" s="1" t="s">
        <v>12</v>
      </c>
      <c r="I21">
        <v>10329.16</v>
      </c>
      <c r="J21">
        <v>-2017.07</v>
      </c>
    </row>
    <row r="22" spans="1:10" x14ac:dyDescent="0.25">
      <c r="A22" s="1" t="s">
        <v>14</v>
      </c>
      <c r="B22">
        <v>1974</v>
      </c>
      <c r="C22" s="1" t="s">
        <v>11</v>
      </c>
      <c r="D22" s="1" t="s">
        <v>12</v>
      </c>
      <c r="E22">
        <v>11884.2</v>
      </c>
      <c r="F22">
        <v>1975</v>
      </c>
      <c r="G22" s="1" t="s">
        <v>13</v>
      </c>
      <c r="H22" s="1" t="s">
        <v>12</v>
      </c>
      <c r="I22">
        <v>13014.61</v>
      </c>
      <c r="J22">
        <v>1130.4100000000001</v>
      </c>
    </row>
    <row r="23" spans="1:10" x14ac:dyDescent="0.25">
      <c r="A23" s="1" t="s">
        <v>22</v>
      </c>
      <c r="B23">
        <v>1974</v>
      </c>
      <c r="C23" s="1" t="s">
        <v>11</v>
      </c>
      <c r="D23" s="1" t="s">
        <v>12</v>
      </c>
      <c r="E23">
        <v>32462.639999999999</v>
      </c>
      <c r="F23">
        <v>1975</v>
      </c>
      <c r="G23" s="1" t="s">
        <v>13</v>
      </c>
      <c r="H23" s="1" t="s">
        <v>12</v>
      </c>
      <c r="I23">
        <v>31507.439999999999</v>
      </c>
      <c r="J23">
        <v>-955.2</v>
      </c>
    </row>
    <row r="24" spans="1:10" x14ac:dyDescent="0.25">
      <c r="A24" s="1" t="s">
        <v>19</v>
      </c>
      <c r="B24">
        <v>1974</v>
      </c>
      <c r="C24" s="1" t="s">
        <v>11</v>
      </c>
      <c r="D24" s="1" t="s">
        <v>12</v>
      </c>
      <c r="E24">
        <v>10329.16</v>
      </c>
      <c r="F24">
        <v>1975</v>
      </c>
      <c r="G24" s="1" t="s">
        <v>11</v>
      </c>
      <c r="H24" s="1" t="s">
        <v>12</v>
      </c>
      <c r="I24">
        <v>13303.67</v>
      </c>
      <c r="J24">
        <v>2974.51</v>
      </c>
    </row>
    <row r="25" spans="1:10" x14ac:dyDescent="0.25">
      <c r="A25" s="1" t="s">
        <v>18</v>
      </c>
      <c r="B25">
        <v>1974</v>
      </c>
      <c r="C25" s="1" t="s">
        <v>11</v>
      </c>
      <c r="D25" s="1" t="s">
        <v>12</v>
      </c>
      <c r="E25">
        <v>13712.8</v>
      </c>
      <c r="F25">
        <v>1975</v>
      </c>
      <c r="G25" s="1" t="s">
        <v>11</v>
      </c>
      <c r="H25" s="1" t="s">
        <v>12</v>
      </c>
      <c r="I25">
        <v>15875.16</v>
      </c>
      <c r="J25">
        <v>2162.36</v>
      </c>
    </row>
    <row r="26" spans="1:10" x14ac:dyDescent="0.25">
      <c r="A26" s="1" t="s">
        <v>23</v>
      </c>
      <c r="B26">
        <v>1975</v>
      </c>
      <c r="C26" s="1" t="s">
        <v>11</v>
      </c>
      <c r="D26" s="1" t="s">
        <v>12</v>
      </c>
      <c r="E26">
        <v>21586.639999999999</v>
      </c>
      <c r="F26">
        <v>1976</v>
      </c>
      <c r="G26" s="1" t="s">
        <v>13</v>
      </c>
      <c r="H26" s="1" t="s">
        <v>12</v>
      </c>
      <c r="I26">
        <v>23405.99</v>
      </c>
      <c r="J26">
        <v>1819.35</v>
      </c>
    </row>
    <row r="27" spans="1:10" x14ac:dyDescent="0.25">
      <c r="A27" s="1" t="s">
        <v>17</v>
      </c>
      <c r="B27">
        <v>1975</v>
      </c>
      <c r="C27" s="1" t="s">
        <v>11</v>
      </c>
      <c r="D27" s="1" t="s">
        <v>12</v>
      </c>
      <c r="E27">
        <v>28587.69</v>
      </c>
      <c r="F27">
        <v>1976</v>
      </c>
      <c r="G27" s="1" t="s">
        <v>11</v>
      </c>
      <c r="H27" s="1" t="s">
        <v>12</v>
      </c>
      <c r="I27">
        <v>32465.53</v>
      </c>
      <c r="J27">
        <v>3877.84</v>
      </c>
    </row>
    <row r="28" spans="1:10" x14ac:dyDescent="0.25">
      <c r="A28" s="1" t="s">
        <v>19</v>
      </c>
      <c r="B28">
        <v>1975</v>
      </c>
      <c r="C28" s="1" t="s">
        <v>11</v>
      </c>
      <c r="D28" s="1" t="s">
        <v>12</v>
      </c>
      <c r="E28">
        <v>13303.67</v>
      </c>
      <c r="F28">
        <v>1976</v>
      </c>
      <c r="G28" s="1" t="s">
        <v>13</v>
      </c>
      <c r="H28" s="1" t="s">
        <v>12</v>
      </c>
      <c r="I28">
        <v>9641.2999999999993</v>
      </c>
      <c r="J28">
        <v>-3662.37</v>
      </c>
    </row>
    <row r="29" spans="1:10" x14ac:dyDescent="0.25">
      <c r="A29" s="1" t="s">
        <v>18</v>
      </c>
      <c r="B29">
        <v>1975</v>
      </c>
      <c r="C29" s="1" t="s">
        <v>11</v>
      </c>
      <c r="D29" s="1" t="s">
        <v>12</v>
      </c>
      <c r="E29">
        <v>15875.16</v>
      </c>
      <c r="F29">
        <v>1976</v>
      </c>
      <c r="G29" s="1" t="s">
        <v>13</v>
      </c>
      <c r="H29" s="1" t="s">
        <v>12</v>
      </c>
      <c r="I29">
        <v>12666.07</v>
      </c>
      <c r="J29">
        <v>-3209.09</v>
      </c>
    </row>
    <row r="30" spans="1:10" x14ac:dyDescent="0.25">
      <c r="A30" s="1" t="s">
        <v>17</v>
      </c>
      <c r="B30">
        <v>1976</v>
      </c>
      <c r="C30" s="1" t="s">
        <v>11</v>
      </c>
      <c r="D30" s="1" t="s">
        <v>12</v>
      </c>
      <c r="E30">
        <v>32465.53</v>
      </c>
      <c r="F30">
        <v>1977</v>
      </c>
      <c r="G30" s="1" t="s">
        <v>13</v>
      </c>
      <c r="H30" s="1" t="s">
        <v>12</v>
      </c>
      <c r="I30">
        <v>31185.57</v>
      </c>
      <c r="J30">
        <v>-1279.96</v>
      </c>
    </row>
    <row r="31" spans="1:10" x14ac:dyDescent="0.25">
      <c r="A31" s="1" t="s">
        <v>24</v>
      </c>
      <c r="B31">
        <v>1976</v>
      </c>
      <c r="C31" s="1" t="s">
        <v>11</v>
      </c>
      <c r="D31" s="1" t="s">
        <v>12</v>
      </c>
      <c r="E31">
        <v>20730.37</v>
      </c>
      <c r="F31">
        <v>1977</v>
      </c>
      <c r="G31" s="1" t="s">
        <v>11</v>
      </c>
      <c r="H31" s="1" t="s">
        <v>12</v>
      </c>
      <c r="I31">
        <v>23328.07</v>
      </c>
      <c r="J31">
        <v>2597.6999999999998</v>
      </c>
    </row>
    <row r="32" spans="1:10" x14ac:dyDescent="0.25">
      <c r="A32" s="1" t="s">
        <v>25</v>
      </c>
      <c r="B32">
        <v>1976</v>
      </c>
      <c r="C32" s="1" t="s">
        <v>11</v>
      </c>
      <c r="D32" s="1" t="s">
        <v>12</v>
      </c>
      <c r="E32">
        <v>25224.15</v>
      </c>
      <c r="F32">
        <v>1977</v>
      </c>
      <c r="G32" s="1" t="s">
        <v>11</v>
      </c>
      <c r="H32" s="1" t="s">
        <v>12</v>
      </c>
      <c r="I32">
        <v>28592.880000000001</v>
      </c>
      <c r="J32">
        <v>3368.73</v>
      </c>
    </row>
    <row r="33" spans="1:10" x14ac:dyDescent="0.25">
      <c r="A33" s="1" t="s">
        <v>26</v>
      </c>
      <c r="B33">
        <v>1976</v>
      </c>
      <c r="C33" s="1" t="s">
        <v>11</v>
      </c>
      <c r="D33" s="1" t="s">
        <v>12</v>
      </c>
      <c r="E33">
        <v>30617.48</v>
      </c>
      <c r="F33">
        <v>1977</v>
      </c>
      <c r="G33" s="1" t="s">
        <v>11</v>
      </c>
      <c r="H33" s="1" t="s">
        <v>12</v>
      </c>
      <c r="I33">
        <v>33330.25</v>
      </c>
      <c r="J33">
        <v>2712.77</v>
      </c>
    </row>
    <row r="34" spans="1:10" x14ac:dyDescent="0.25">
      <c r="A34" s="1" t="s">
        <v>24</v>
      </c>
      <c r="B34">
        <v>1977</v>
      </c>
      <c r="C34" s="1" t="s">
        <v>11</v>
      </c>
      <c r="D34" s="1" t="s">
        <v>12</v>
      </c>
      <c r="E34">
        <v>23328.07</v>
      </c>
      <c r="F34">
        <v>1978</v>
      </c>
      <c r="G34" s="1" t="s">
        <v>11</v>
      </c>
      <c r="H34" s="1" t="s">
        <v>12</v>
      </c>
      <c r="I34">
        <v>27845.59</v>
      </c>
      <c r="J34">
        <v>4517.5200000000004</v>
      </c>
    </row>
    <row r="35" spans="1:10" x14ac:dyDescent="0.25">
      <c r="A35" s="1" t="s">
        <v>22</v>
      </c>
      <c r="B35">
        <v>1977</v>
      </c>
      <c r="C35" s="1" t="s">
        <v>11</v>
      </c>
      <c r="D35" s="1" t="s">
        <v>12</v>
      </c>
      <c r="E35">
        <v>36359.1</v>
      </c>
      <c r="F35">
        <v>1978</v>
      </c>
      <c r="G35" s="1" t="s">
        <v>11</v>
      </c>
      <c r="H35" s="1" t="s">
        <v>12</v>
      </c>
      <c r="I35">
        <v>41330.9</v>
      </c>
      <c r="J35">
        <v>4971.8</v>
      </c>
    </row>
    <row r="36" spans="1:10" x14ac:dyDescent="0.25">
      <c r="A36" s="1" t="s">
        <v>25</v>
      </c>
      <c r="B36">
        <v>1977</v>
      </c>
      <c r="C36" s="1" t="s">
        <v>11</v>
      </c>
      <c r="D36" s="1" t="s">
        <v>12</v>
      </c>
      <c r="E36">
        <v>28592.880000000001</v>
      </c>
      <c r="F36">
        <v>1978</v>
      </c>
      <c r="G36" s="1" t="s">
        <v>11</v>
      </c>
      <c r="H36" s="1" t="s">
        <v>12</v>
      </c>
      <c r="I36">
        <v>29930.85</v>
      </c>
      <c r="J36">
        <v>1337.97</v>
      </c>
    </row>
    <row r="37" spans="1:10" x14ac:dyDescent="0.25">
      <c r="A37" s="1" t="s">
        <v>26</v>
      </c>
      <c r="B37">
        <v>1977</v>
      </c>
      <c r="C37" s="1" t="s">
        <v>11</v>
      </c>
      <c r="D37" s="1" t="s">
        <v>12</v>
      </c>
      <c r="E37">
        <v>33330.25</v>
      </c>
      <c r="F37">
        <v>1978</v>
      </c>
      <c r="G37" s="1" t="s">
        <v>11</v>
      </c>
      <c r="H37" s="1" t="s">
        <v>12</v>
      </c>
      <c r="I37">
        <v>31492.79</v>
      </c>
      <c r="J37">
        <v>-1837.46</v>
      </c>
    </row>
    <row r="38" spans="1:10" x14ac:dyDescent="0.25">
      <c r="A38" s="1" t="s">
        <v>24</v>
      </c>
      <c r="B38">
        <v>1978</v>
      </c>
      <c r="C38" s="1" t="s">
        <v>11</v>
      </c>
      <c r="D38" s="1" t="s">
        <v>12</v>
      </c>
      <c r="E38">
        <v>27845.59</v>
      </c>
      <c r="F38">
        <v>1979</v>
      </c>
      <c r="G38" s="1" t="s">
        <v>13</v>
      </c>
      <c r="H38" s="1" t="s">
        <v>12</v>
      </c>
      <c r="I38">
        <v>27924.01</v>
      </c>
      <c r="J38">
        <v>78.42</v>
      </c>
    </row>
    <row r="39" spans="1:10" x14ac:dyDescent="0.25">
      <c r="A39" s="1" t="s">
        <v>22</v>
      </c>
      <c r="B39">
        <v>1978</v>
      </c>
      <c r="C39" s="1" t="s">
        <v>11</v>
      </c>
      <c r="D39" s="1" t="s">
        <v>12</v>
      </c>
      <c r="E39">
        <v>41330.9</v>
      </c>
      <c r="F39">
        <v>1979</v>
      </c>
      <c r="G39" s="1" t="s">
        <v>13</v>
      </c>
      <c r="H39" s="1" t="s">
        <v>12</v>
      </c>
      <c r="I39">
        <v>35320.42</v>
      </c>
      <c r="J39">
        <v>-6010.48</v>
      </c>
    </row>
    <row r="40" spans="1:10" x14ac:dyDescent="0.25">
      <c r="A40" s="1" t="s">
        <v>25</v>
      </c>
      <c r="B40">
        <v>1978</v>
      </c>
      <c r="C40" s="1" t="s">
        <v>11</v>
      </c>
      <c r="D40" s="1" t="s">
        <v>12</v>
      </c>
      <c r="E40">
        <v>29930.85</v>
      </c>
      <c r="F40">
        <v>1979</v>
      </c>
      <c r="G40" s="1" t="s">
        <v>13</v>
      </c>
      <c r="H40" s="1" t="s">
        <v>12</v>
      </c>
      <c r="I40">
        <v>31405.53</v>
      </c>
      <c r="J40">
        <v>1474.68</v>
      </c>
    </row>
    <row r="41" spans="1:10" x14ac:dyDescent="0.25">
      <c r="A41" s="1" t="s">
        <v>26</v>
      </c>
      <c r="B41">
        <v>1978</v>
      </c>
      <c r="C41" s="1" t="s">
        <v>11</v>
      </c>
      <c r="D41" s="1" t="s">
        <v>12</v>
      </c>
      <c r="E41">
        <v>31492.79</v>
      </c>
      <c r="F41">
        <v>1979</v>
      </c>
      <c r="G41" s="1" t="s">
        <v>13</v>
      </c>
      <c r="H41" s="1" t="s">
        <v>12</v>
      </c>
      <c r="I41">
        <v>34257.4</v>
      </c>
      <c r="J41">
        <v>2764.61</v>
      </c>
    </row>
    <row r="42" spans="1:10" x14ac:dyDescent="0.25">
      <c r="A42" s="1" t="s">
        <v>14</v>
      </c>
      <c r="B42">
        <v>1979</v>
      </c>
      <c r="C42" s="1" t="s">
        <v>11</v>
      </c>
      <c r="D42" s="1" t="s">
        <v>12</v>
      </c>
      <c r="E42">
        <v>21271.23</v>
      </c>
      <c r="F42">
        <v>1980</v>
      </c>
      <c r="G42" s="1" t="s">
        <v>13</v>
      </c>
      <c r="H42" s="1" t="s">
        <v>12</v>
      </c>
      <c r="I42">
        <v>22284.2</v>
      </c>
      <c r="J42">
        <v>1012.97</v>
      </c>
    </row>
    <row r="43" spans="1:10" x14ac:dyDescent="0.25">
      <c r="A43" s="1" t="s">
        <v>27</v>
      </c>
      <c r="B43">
        <v>1979</v>
      </c>
      <c r="C43" s="1" t="s">
        <v>11</v>
      </c>
      <c r="D43" s="1" t="s">
        <v>12</v>
      </c>
      <c r="E43">
        <v>31155.25</v>
      </c>
      <c r="F43">
        <v>1980</v>
      </c>
      <c r="G43" s="1" t="s">
        <v>13</v>
      </c>
      <c r="H43" s="1" t="s">
        <v>12</v>
      </c>
      <c r="I43">
        <v>28362.06</v>
      </c>
      <c r="J43">
        <v>-2793.19</v>
      </c>
    </row>
    <row r="44" spans="1:10" x14ac:dyDescent="0.25">
      <c r="A44" s="1" t="s">
        <v>17</v>
      </c>
      <c r="B44">
        <v>1979</v>
      </c>
      <c r="C44" s="1" t="s">
        <v>11</v>
      </c>
      <c r="D44" s="1" t="s">
        <v>12</v>
      </c>
      <c r="E44">
        <v>29461.66</v>
      </c>
      <c r="F44">
        <v>1980</v>
      </c>
      <c r="G44" s="1" t="s">
        <v>13</v>
      </c>
      <c r="H44" s="1" t="s">
        <v>12</v>
      </c>
      <c r="I44">
        <v>24775.56</v>
      </c>
      <c r="J44">
        <v>-4686.1000000000004</v>
      </c>
    </row>
    <row r="45" spans="1:10" x14ac:dyDescent="0.25">
      <c r="A45" s="1" t="s">
        <v>18</v>
      </c>
      <c r="B45">
        <v>1979</v>
      </c>
      <c r="C45" s="1" t="s">
        <v>11</v>
      </c>
      <c r="D45" s="1" t="s">
        <v>12</v>
      </c>
      <c r="E45">
        <v>17721.32</v>
      </c>
      <c r="F45">
        <v>1980</v>
      </c>
      <c r="G45" s="1" t="s">
        <v>13</v>
      </c>
      <c r="H45" s="1" t="s">
        <v>12</v>
      </c>
      <c r="I45">
        <v>20268.599999999999</v>
      </c>
      <c r="J45">
        <v>2547.2800000000002</v>
      </c>
    </row>
    <row r="46" spans="1:10" x14ac:dyDescent="0.25">
      <c r="A46" s="1" t="s">
        <v>28</v>
      </c>
      <c r="B46">
        <v>1980</v>
      </c>
      <c r="C46" s="1" t="s">
        <v>11</v>
      </c>
      <c r="D46" s="1" t="s">
        <v>12</v>
      </c>
      <c r="E46">
        <v>28494.959999999999</v>
      </c>
      <c r="F46">
        <v>1981</v>
      </c>
      <c r="G46" s="1" t="s">
        <v>11</v>
      </c>
      <c r="H46" s="1" t="s">
        <v>12</v>
      </c>
      <c r="I46">
        <v>25906.31</v>
      </c>
      <c r="J46">
        <v>-2588.65</v>
      </c>
    </row>
    <row r="47" spans="1:10" x14ac:dyDescent="0.25">
      <c r="A47" s="1" t="s">
        <v>24</v>
      </c>
      <c r="B47">
        <v>1980</v>
      </c>
      <c r="C47" s="1" t="s">
        <v>11</v>
      </c>
      <c r="D47" s="1" t="s">
        <v>12</v>
      </c>
      <c r="E47">
        <v>28272.3</v>
      </c>
      <c r="F47">
        <v>1981</v>
      </c>
      <c r="G47" s="1" t="s">
        <v>11</v>
      </c>
      <c r="H47" s="1" t="s">
        <v>12</v>
      </c>
      <c r="I47">
        <v>27222.13</v>
      </c>
      <c r="J47">
        <v>-1050.17</v>
      </c>
    </row>
    <row r="48" spans="1:10" x14ac:dyDescent="0.25">
      <c r="A48" s="1" t="s">
        <v>25</v>
      </c>
      <c r="B48">
        <v>1980</v>
      </c>
      <c r="C48" s="1" t="s">
        <v>11</v>
      </c>
      <c r="D48" s="1" t="s">
        <v>12</v>
      </c>
      <c r="E48">
        <v>32437.25</v>
      </c>
      <c r="F48">
        <v>1981</v>
      </c>
      <c r="G48" s="1" t="s">
        <v>11</v>
      </c>
      <c r="H48" s="1" t="s">
        <v>12</v>
      </c>
      <c r="I48">
        <v>31656.51</v>
      </c>
      <c r="J48">
        <v>-780.74</v>
      </c>
    </row>
    <row r="49" spans="1:10" x14ac:dyDescent="0.25">
      <c r="A49" s="1" t="s">
        <v>26</v>
      </c>
      <c r="B49">
        <v>1980</v>
      </c>
      <c r="C49" s="1" t="s">
        <v>11</v>
      </c>
      <c r="D49" s="1" t="s">
        <v>12</v>
      </c>
      <c r="E49">
        <v>32826.629999999997</v>
      </c>
      <c r="F49">
        <v>1981</v>
      </c>
      <c r="G49" s="1" t="s">
        <v>11</v>
      </c>
      <c r="H49" s="1" t="s">
        <v>12</v>
      </c>
      <c r="I49">
        <v>29798.44</v>
      </c>
      <c r="J49">
        <v>-3028.19</v>
      </c>
    </row>
    <row r="50" spans="1:10" x14ac:dyDescent="0.25">
      <c r="A50" s="1" t="s">
        <v>28</v>
      </c>
      <c r="B50">
        <v>1981</v>
      </c>
      <c r="C50" s="1" t="s">
        <v>11</v>
      </c>
      <c r="D50" s="1" t="s">
        <v>12</v>
      </c>
      <c r="E50">
        <v>25906.31</v>
      </c>
      <c r="F50">
        <v>1982</v>
      </c>
      <c r="G50" s="1" t="s">
        <v>13</v>
      </c>
      <c r="H50" s="1" t="s">
        <v>12</v>
      </c>
      <c r="I50">
        <v>19264.150000000001</v>
      </c>
      <c r="J50">
        <v>-6642.16</v>
      </c>
    </row>
    <row r="51" spans="1:10" x14ac:dyDescent="0.25">
      <c r="A51" s="1" t="s">
        <v>24</v>
      </c>
      <c r="B51">
        <v>1981</v>
      </c>
      <c r="C51" s="1" t="s">
        <v>11</v>
      </c>
      <c r="D51" s="1" t="s">
        <v>12</v>
      </c>
      <c r="E51">
        <v>27222.13</v>
      </c>
      <c r="F51">
        <v>1982</v>
      </c>
      <c r="G51" s="1" t="s">
        <v>13</v>
      </c>
      <c r="H51" s="1" t="s">
        <v>12</v>
      </c>
      <c r="I51">
        <v>28141.53</v>
      </c>
      <c r="J51">
        <v>919.4</v>
      </c>
    </row>
    <row r="52" spans="1:10" x14ac:dyDescent="0.25">
      <c r="A52" s="1" t="s">
        <v>22</v>
      </c>
      <c r="B52">
        <v>1981</v>
      </c>
      <c r="C52" s="1" t="s">
        <v>11</v>
      </c>
      <c r="D52" s="1" t="s">
        <v>12</v>
      </c>
      <c r="E52">
        <v>42546.05</v>
      </c>
      <c r="F52">
        <v>1982</v>
      </c>
      <c r="G52" s="1" t="s">
        <v>13</v>
      </c>
      <c r="H52" s="1" t="s">
        <v>12</v>
      </c>
      <c r="I52">
        <v>44554.09</v>
      </c>
      <c r="J52">
        <v>2008.04</v>
      </c>
    </row>
    <row r="53" spans="1:10" x14ac:dyDescent="0.25">
      <c r="A53" s="1" t="s">
        <v>29</v>
      </c>
      <c r="B53">
        <v>1981</v>
      </c>
      <c r="C53" s="1" t="s">
        <v>11</v>
      </c>
      <c r="D53" s="1" t="s">
        <v>12</v>
      </c>
      <c r="E53">
        <v>17928.2</v>
      </c>
      <c r="F53">
        <v>1982</v>
      </c>
      <c r="G53" s="1" t="s">
        <v>11</v>
      </c>
      <c r="H53" s="1" t="s">
        <v>12</v>
      </c>
      <c r="I53">
        <v>24131.89</v>
      </c>
      <c r="J53">
        <v>6203.69</v>
      </c>
    </row>
    <row r="54" spans="1:10" x14ac:dyDescent="0.25">
      <c r="A54" s="1" t="s">
        <v>30</v>
      </c>
      <c r="B54">
        <v>1981</v>
      </c>
      <c r="C54" s="1" t="s">
        <v>11</v>
      </c>
      <c r="D54" s="1" t="s">
        <v>12</v>
      </c>
      <c r="E54">
        <v>27404.7</v>
      </c>
      <c r="F54">
        <v>1982</v>
      </c>
      <c r="G54" s="1" t="s">
        <v>13</v>
      </c>
      <c r="H54" s="1" t="s">
        <v>12</v>
      </c>
      <c r="I54">
        <v>28639.41</v>
      </c>
      <c r="J54">
        <v>1234.71</v>
      </c>
    </row>
    <row r="55" spans="1:10" x14ac:dyDescent="0.25">
      <c r="A55" s="1" t="s">
        <v>25</v>
      </c>
      <c r="B55">
        <v>1981</v>
      </c>
      <c r="C55" s="1" t="s">
        <v>11</v>
      </c>
      <c r="D55" s="1" t="s">
        <v>12</v>
      </c>
      <c r="E55">
        <v>31656.51</v>
      </c>
      <c r="F55">
        <v>1982</v>
      </c>
      <c r="G55" s="1" t="s">
        <v>13</v>
      </c>
      <c r="H55" s="1" t="s">
        <v>12</v>
      </c>
      <c r="I55">
        <v>25200.23</v>
      </c>
      <c r="J55">
        <v>-6456.28</v>
      </c>
    </row>
    <row r="56" spans="1:10" x14ac:dyDescent="0.25">
      <c r="A56" s="1" t="s">
        <v>19</v>
      </c>
      <c r="B56">
        <v>1981</v>
      </c>
      <c r="C56" s="1" t="s">
        <v>11</v>
      </c>
      <c r="D56" s="1" t="s">
        <v>12</v>
      </c>
      <c r="E56">
        <v>23180.45</v>
      </c>
      <c r="F56">
        <v>1982</v>
      </c>
      <c r="G56" s="1" t="s">
        <v>13</v>
      </c>
      <c r="H56" s="1" t="s">
        <v>12</v>
      </c>
      <c r="I56">
        <v>21464.91</v>
      </c>
      <c r="J56">
        <v>-1715.54</v>
      </c>
    </row>
    <row r="57" spans="1:10" x14ac:dyDescent="0.25">
      <c r="A57" s="1" t="s">
        <v>26</v>
      </c>
      <c r="B57">
        <v>1981</v>
      </c>
      <c r="C57" s="1" t="s">
        <v>11</v>
      </c>
      <c r="D57" s="1" t="s">
        <v>12</v>
      </c>
      <c r="E57">
        <v>29798.44</v>
      </c>
      <c r="F57">
        <v>1982</v>
      </c>
      <c r="G57" s="1" t="s">
        <v>13</v>
      </c>
      <c r="H57" s="1" t="s">
        <v>12</v>
      </c>
      <c r="I57">
        <v>29317.42</v>
      </c>
      <c r="J57">
        <v>-481.02</v>
      </c>
    </row>
    <row r="58" spans="1:10" x14ac:dyDescent="0.25">
      <c r="A58" s="1" t="s">
        <v>10</v>
      </c>
      <c r="B58">
        <v>1982</v>
      </c>
      <c r="C58" s="1" t="s">
        <v>11</v>
      </c>
      <c r="D58" s="1" t="s">
        <v>12</v>
      </c>
      <c r="E58">
        <v>22226.86</v>
      </c>
      <c r="F58">
        <v>1983</v>
      </c>
      <c r="G58" s="1" t="s">
        <v>13</v>
      </c>
      <c r="H58" s="1" t="s">
        <v>12</v>
      </c>
      <c r="I58">
        <v>26459.25</v>
      </c>
      <c r="J58">
        <v>4232.3900000000003</v>
      </c>
    </row>
    <row r="59" spans="1:10" x14ac:dyDescent="0.25">
      <c r="A59" s="1" t="s">
        <v>27</v>
      </c>
      <c r="B59">
        <v>1982</v>
      </c>
      <c r="C59" s="1" t="s">
        <v>11</v>
      </c>
      <c r="D59" s="1" t="s">
        <v>12</v>
      </c>
      <c r="E59">
        <v>34658.769999999997</v>
      </c>
      <c r="F59">
        <v>1983</v>
      </c>
      <c r="G59" s="1" t="s">
        <v>13</v>
      </c>
      <c r="H59" s="1" t="s">
        <v>12</v>
      </c>
      <c r="I59">
        <v>31547.85</v>
      </c>
      <c r="J59">
        <v>-3110.92</v>
      </c>
    </row>
    <row r="60" spans="1:10" x14ac:dyDescent="0.25">
      <c r="A60" s="1" t="s">
        <v>29</v>
      </c>
      <c r="B60">
        <v>1982</v>
      </c>
      <c r="C60" s="1" t="s">
        <v>11</v>
      </c>
      <c r="D60" s="1" t="s">
        <v>12</v>
      </c>
      <c r="E60">
        <v>24131.89</v>
      </c>
      <c r="F60">
        <v>1983</v>
      </c>
      <c r="G60" s="1" t="s">
        <v>13</v>
      </c>
      <c r="H60" s="1" t="s">
        <v>12</v>
      </c>
      <c r="I60">
        <v>27984.26</v>
      </c>
      <c r="J60">
        <v>3852.37</v>
      </c>
    </row>
    <row r="61" spans="1:10" x14ac:dyDescent="0.25">
      <c r="A61" s="1" t="s">
        <v>31</v>
      </c>
      <c r="B61">
        <v>1982</v>
      </c>
      <c r="C61" s="1" t="s">
        <v>11</v>
      </c>
      <c r="D61" s="1" t="s">
        <v>12</v>
      </c>
      <c r="E61">
        <v>26073.11</v>
      </c>
      <c r="F61">
        <v>1983</v>
      </c>
      <c r="G61" s="1" t="s">
        <v>13</v>
      </c>
      <c r="H61" s="1" t="s">
        <v>12</v>
      </c>
      <c r="I61">
        <v>28934.19</v>
      </c>
      <c r="J61">
        <v>2861.08</v>
      </c>
    </row>
    <row r="62" spans="1:10" x14ac:dyDescent="0.25">
      <c r="A62" s="1" t="s">
        <v>14</v>
      </c>
      <c r="B62">
        <v>1983</v>
      </c>
      <c r="C62" s="1" t="s">
        <v>11</v>
      </c>
      <c r="D62" s="1" t="s">
        <v>12</v>
      </c>
      <c r="E62">
        <v>25140.7</v>
      </c>
      <c r="F62">
        <v>1984</v>
      </c>
      <c r="G62" s="1" t="s">
        <v>13</v>
      </c>
      <c r="H62" s="1" t="s">
        <v>12</v>
      </c>
      <c r="I62">
        <v>25150.69</v>
      </c>
      <c r="J62">
        <v>9.99</v>
      </c>
    </row>
    <row r="63" spans="1:10" x14ac:dyDescent="0.25">
      <c r="A63" s="1" t="s">
        <v>32</v>
      </c>
      <c r="B63">
        <v>1983</v>
      </c>
      <c r="C63" s="1" t="s">
        <v>11</v>
      </c>
      <c r="D63" s="1" t="s">
        <v>12</v>
      </c>
      <c r="E63">
        <v>26331.02</v>
      </c>
      <c r="F63">
        <v>1984</v>
      </c>
      <c r="G63" s="1" t="s">
        <v>13</v>
      </c>
      <c r="H63" s="1" t="s">
        <v>12</v>
      </c>
      <c r="I63">
        <v>26368.23</v>
      </c>
      <c r="J63">
        <v>37.21</v>
      </c>
    </row>
    <row r="64" spans="1:10" x14ac:dyDescent="0.25">
      <c r="A64" s="1" t="s">
        <v>22</v>
      </c>
      <c r="B64">
        <v>1983</v>
      </c>
      <c r="C64" s="1" t="s">
        <v>11</v>
      </c>
      <c r="D64" s="1" t="s">
        <v>12</v>
      </c>
      <c r="E64">
        <v>43866.41</v>
      </c>
      <c r="F64">
        <v>1984</v>
      </c>
      <c r="G64" s="1" t="s">
        <v>13</v>
      </c>
      <c r="H64" s="1" t="s">
        <v>12</v>
      </c>
      <c r="I64">
        <v>38701.53</v>
      </c>
      <c r="J64">
        <v>-5164.88</v>
      </c>
    </row>
    <row r="65" spans="1:10" x14ac:dyDescent="0.25">
      <c r="A65" s="1" t="s">
        <v>26</v>
      </c>
      <c r="B65">
        <v>1983</v>
      </c>
      <c r="C65" s="1" t="s">
        <v>11</v>
      </c>
      <c r="D65" s="1" t="s">
        <v>12</v>
      </c>
      <c r="E65">
        <v>25955.43</v>
      </c>
      <c r="F65">
        <v>1984</v>
      </c>
      <c r="G65" s="1" t="s">
        <v>13</v>
      </c>
      <c r="H65" s="1" t="s">
        <v>12</v>
      </c>
      <c r="I65">
        <v>25468.720000000001</v>
      </c>
      <c r="J65">
        <v>-486.71</v>
      </c>
    </row>
    <row r="66" spans="1:10" x14ac:dyDescent="0.25">
      <c r="A66" s="1" t="s">
        <v>33</v>
      </c>
      <c r="B66">
        <v>1984</v>
      </c>
      <c r="C66" s="1" t="s">
        <v>11</v>
      </c>
      <c r="D66" s="1" t="s">
        <v>12</v>
      </c>
      <c r="E66">
        <v>26350.69</v>
      </c>
      <c r="F66">
        <v>1985</v>
      </c>
      <c r="G66" s="1" t="s">
        <v>13</v>
      </c>
      <c r="H66" s="1" t="s">
        <v>12</v>
      </c>
      <c r="I66">
        <v>26685.599999999999</v>
      </c>
      <c r="J66">
        <v>334.91</v>
      </c>
    </row>
    <row r="67" spans="1:10" x14ac:dyDescent="0.25">
      <c r="A67" s="1" t="s">
        <v>21</v>
      </c>
      <c r="B67">
        <v>1984</v>
      </c>
      <c r="C67" s="1" t="s">
        <v>11</v>
      </c>
      <c r="D67" s="1" t="s">
        <v>12</v>
      </c>
      <c r="E67">
        <v>32985.29</v>
      </c>
      <c r="F67">
        <v>1985</v>
      </c>
      <c r="G67" s="1" t="s">
        <v>13</v>
      </c>
      <c r="H67" s="1" t="s">
        <v>12</v>
      </c>
      <c r="I67">
        <v>28229.75</v>
      </c>
      <c r="J67">
        <v>-4755.54</v>
      </c>
    </row>
    <row r="68" spans="1:10" x14ac:dyDescent="0.25">
      <c r="A68" s="1" t="s">
        <v>24</v>
      </c>
      <c r="B68">
        <v>1984</v>
      </c>
      <c r="C68" s="1" t="s">
        <v>11</v>
      </c>
      <c r="D68" s="1" t="s">
        <v>12</v>
      </c>
      <c r="E68">
        <v>22345.9</v>
      </c>
      <c r="F68">
        <v>1985</v>
      </c>
      <c r="G68" s="1" t="s">
        <v>11</v>
      </c>
      <c r="H68" s="1" t="s">
        <v>12</v>
      </c>
      <c r="I68">
        <v>26374.57</v>
      </c>
      <c r="J68">
        <v>4028.67</v>
      </c>
    </row>
    <row r="69" spans="1:10" x14ac:dyDescent="0.25">
      <c r="A69" s="1" t="s">
        <v>34</v>
      </c>
      <c r="B69">
        <v>1984</v>
      </c>
      <c r="C69" s="1" t="s">
        <v>11</v>
      </c>
      <c r="D69" s="1" t="s">
        <v>12</v>
      </c>
      <c r="E69">
        <v>24505.59</v>
      </c>
      <c r="F69">
        <v>1985</v>
      </c>
      <c r="G69" s="1" t="s">
        <v>13</v>
      </c>
      <c r="H69" s="1" t="s">
        <v>12</v>
      </c>
      <c r="I69">
        <v>27288.3</v>
      </c>
      <c r="J69">
        <v>2782.71</v>
      </c>
    </row>
    <row r="70" spans="1:10" x14ac:dyDescent="0.25">
      <c r="A70" s="1" t="s">
        <v>24</v>
      </c>
      <c r="B70">
        <v>1985</v>
      </c>
      <c r="C70" s="1" t="s">
        <v>11</v>
      </c>
      <c r="D70" s="1" t="s">
        <v>12</v>
      </c>
      <c r="E70">
        <v>26374.57</v>
      </c>
      <c r="F70">
        <v>1986</v>
      </c>
      <c r="G70" s="1" t="s">
        <v>13</v>
      </c>
      <c r="H70" s="1" t="s">
        <v>12</v>
      </c>
      <c r="I70">
        <v>28651.41</v>
      </c>
      <c r="J70">
        <v>2276.84</v>
      </c>
    </row>
    <row r="71" spans="1:10" x14ac:dyDescent="0.25">
      <c r="A71" s="1" t="s">
        <v>22</v>
      </c>
      <c r="B71">
        <v>1985</v>
      </c>
      <c r="C71" s="1" t="s">
        <v>11</v>
      </c>
      <c r="D71" s="1" t="s">
        <v>12</v>
      </c>
      <c r="E71">
        <v>40304.730000000003</v>
      </c>
      <c r="F71">
        <v>1986</v>
      </c>
      <c r="G71" s="1" t="s">
        <v>13</v>
      </c>
      <c r="H71" s="1" t="s">
        <v>12</v>
      </c>
      <c r="I71">
        <v>37447.01</v>
      </c>
      <c r="J71">
        <v>-2857.72</v>
      </c>
    </row>
    <row r="72" spans="1:10" x14ac:dyDescent="0.25">
      <c r="A72" s="1" t="s">
        <v>31</v>
      </c>
      <c r="B72">
        <v>1985</v>
      </c>
      <c r="C72" s="1" t="s">
        <v>11</v>
      </c>
      <c r="D72" s="1" t="s">
        <v>12</v>
      </c>
      <c r="E72">
        <v>32857.589999999997</v>
      </c>
      <c r="F72">
        <v>1986</v>
      </c>
      <c r="G72" s="1" t="s">
        <v>13</v>
      </c>
      <c r="H72" s="1" t="s">
        <v>12</v>
      </c>
      <c r="I72">
        <v>30841.26</v>
      </c>
      <c r="J72">
        <v>-2016.33</v>
      </c>
    </row>
    <row r="73" spans="1:10" x14ac:dyDescent="0.25">
      <c r="A73" s="1" t="s">
        <v>35</v>
      </c>
      <c r="B73">
        <v>1985</v>
      </c>
      <c r="C73" s="1" t="s">
        <v>11</v>
      </c>
      <c r="D73" s="1" t="s">
        <v>12</v>
      </c>
      <c r="E73">
        <v>30861.56</v>
      </c>
      <c r="F73">
        <v>1986</v>
      </c>
      <c r="G73" s="1" t="s">
        <v>13</v>
      </c>
      <c r="H73" s="1" t="s">
        <v>12</v>
      </c>
      <c r="I73">
        <v>30314.53</v>
      </c>
      <c r="J73">
        <v>-547.03</v>
      </c>
    </row>
    <row r="74" spans="1:10" x14ac:dyDescent="0.25">
      <c r="A74" s="1" t="s">
        <v>23</v>
      </c>
      <c r="B74">
        <v>1986</v>
      </c>
      <c r="C74" s="1" t="s">
        <v>11</v>
      </c>
      <c r="D74" s="1" t="s">
        <v>12</v>
      </c>
      <c r="E74">
        <v>26502.400000000001</v>
      </c>
      <c r="F74">
        <v>1987</v>
      </c>
      <c r="G74" s="1" t="s">
        <v>13</v>
      </c>
      <c r="H74" s="1" t="s">
        <v>12</v>
      </c>
      <c r="I74">
        <v>27895.61</v>
      </c>
      <c r="J74">
        <v>1393.21</v>
      </c>
    </row>
    <row r="75" spans="1:10" x14ac:dyDescent="0.25">
      <c r="A75" s="1" t="s">
        <v>27</v>
      </c>
      <c r="B75">
        <v>1986</v>
      </c>
      <c r="C75" s="1" t="s">
        <v>11</v>
      </c>
      <c r="D75" s="1" t="s">
        <v>12</v>
      </c>
      <c r="E75">
        <v>32383.65</v>
      </c>
      <c r="F75">
        <v>1987</v>
      </c>
      <c r="G75" s="1" t="s">
        <v>13</v>
      </c>
      <c r="H75" s="1" t="s">
        <v>12</v>
      </c>
      <c r="I75">
        <v>33286.519999999997</v>
      </c>
      <c r="J75">
        <v>902.87</v>
      </c>
    </row>
    <row r="76" spans="1:10" x14ac:dyDescent="0.25">
      <c r="A76" s="1" t="s">
        <v>28</v>
      </c>
      <c r="B76">
        <v>1986</v>
      </c>
      <c r="C76" s="1" t="s">
        <v>11</v>
      </c>
      <c r="D76" s="1" t="s">
        <v>12</v>
      </c>
      <c r="E76">
        <v>21410.69</v>
      </c>
      <c r="F76">
        <v>1987</v>
      </c>
      <c r="G76" s="1" t="s">
        <v>13</v>
      </c>
      <c r="H76" s="1" t="s">
        <v>12</v>
      </c>
      <c r="I76">
        <v>23716.01</v>
      </c>
      <c r="J76">
        <v>2305.3200000000002</v>
      </c>
    </row>
    <row r="77" spans="1:10" x14ac:dyDescent="0.25">
      <c r="A77" s="1" t="s">
        <v>16</v>
      </c>
      <c r="B77">
        <v>1986</v>
      </c>
      <c r="C77" s="1" t="s">
        <v>11</v>
      </c>
      <c r="D77" s="1" t="s">
        <v>12</v>
      </c>
      <c r="E77">
        <v>34103.910000000003</v>
      </c>
      <c r="F77">
        <v>1987</v>
      </c>
      <c r="G77" s="1" t="s">
        <v>13</v>
      </c>
      <c r="H77" s="1" t="s">
        <v>12</v>
      </c>
      <c r="I77">
        <v>37371.86</v>
      </c>
      <c r="J77">
        <v>3267.95</v>
      </c>
    </row>
    <row r="78" spans="1:10" x14ac:dyDescent="0.25">
      <c r="A78" s="1" t="s">
        <v>21</v>
      </c>
      <c r="B78">
        <v>1987</v>
      </c>
      <c r="C78" s="1" t="s">
        <v>11</v>
      </c>
      <c r="D78" s="1" t="s">
        <v>12</v>
      </c>
      <c r="E78">
        <v>25454.69</v>
      </c>
      <c r="F78">
        <v>1988</v>
      </c>
      <c r="G78" s="1" t="s">
        <v>13</v>
      </c>
      <c r="H78" s="1" t="s">
        <v>12</v>
      </c>
      <c r="I78">
        <v>25692.62</v>
      </c>
      <c r="J78">
        <v>237.93</v>
      </c>
    </row>
    <row r="79" spans="1:10" x14ac:dyDescent="0.25">
      <c r="A79" s="1" t="s">
        <v>15</v>
      </c>
      <c r="B79">
        <v>1987</v>
      </c>
      <c r="C79" s="1" t="s">
        <v>11</v>
      </c>
      <c r="D79" s="1" t="s">
        <v>12</v>
      </c>
      <c r="E79">
        <v>25706.21</v>
      </c>
      <c r="F79">
        <v>1988</v>
      </c>
      <c r="G79" s="1" t="s">
        <v>13</v>
      </c>
      <c r="H79" s="1" t="s">
        <v>12</v>
      </c>
      <c r="I79">
        <v>37407.4</v>
      </c>
      <c r="J79">
        <v>11701.19</v>
      </c>
    </row>
    <row r="80" spans="1:10" x14ac:dyDescent="0.25">
      <c r="A80" s="1" t="s">
        <v>20</v>
      </c>
      <c r="B80">
        <v>1987</v>
      </c>
      <c r="C80" s="1" t="s">
        <v>11</v>
      </c>
      <c r="D80" s="1" t="s">
        <v>12</v>
      </c>
      <c r="E80">
        <v>23677.32</v>
      </c>
      <c r="F80">
        <v>1988</v>
      </c>
      <c r="G80" s="1" t="s">
        <v>13</v>
      </c>
      <c r="H80" s="1" t="s">
        <v>12</v>
      </c>
      <c r="I80">
        <v>22055.33</v>
      </c>
      <c r="J80">
        <v>-1621.99</v>
      </c>
    </row>
    <row r="81" spans="1:10" x14ac:dyDescent="0.25">
      <c r="A81" s="1" t="s">
        <v>31</v>
      </c>
      <c r="B81">
        <v>1987</v>
      </c>
      <c r="C81" s="1" t="s">
        <v>11</v>
      </c>
      <c r="D81" s="1" t="s">
        <v>12</v>
      </c>
      <c r="E81">
        <v>37939.89</v>
      </c>
      <c r="F81">
        <v>1988</v>
      </c>
      <c r="G81" s="1" t="s">
        <v>13</v>
      </c>
      <c r="H81" s="1" t="s">
        <v>12</v>
      </c>
      <c r="I81">
        <v>35704.800000000003</v>
      </c>
      <c r="J81">
        <v>-2235.09</v>
      </c>
    </row>
    <row r="82" spans="1:10" x14ac:dyDescent="0.25">
      <c r="A82" s="1" t="s">
        <v>23</v>
      </c>
      <c r="B82">
        <v>1988</v>
      </c>
      <c r="C82" s="1" t="s">
        <v>11</v>
      </c>
      <c r="D82" s="1" t="s">
        <v>12</v>
      </c>
      <c r="E82">
        <v>30411.59</v>
      </c>
      <c r="F82">
        <v>1989</v>
      </c>
      <c r="G82" s="1" t="s">
        <v>13</v>
      </c>
      <c r="H82" s="1" t="s">
        <v>12</v>
      </c>
      <c r="I82">
        <v>31013.200000000001</v>
      </c>
      <c r="J82">
        <v>601.61</v>
      </c>
    </row>
    <row r="83" spans="1:10" x14ac:dyDescent="0.25">
      <c r="A83" s="1" t="s">
        <v>22</v>
      </c>
      <c r="B83">
        <v>1988</v>
      </c>
      <c r="C83" s="1" t="s">
        <v>11</v>
      </c>
      <c r="D83" s="1" t="s">
        <v>12</v>
      </c>
      <c r="E83">
        <v>36793.360000000001</v>
      </c>
      <c r="F83">
        <v>1989</v>
      </c>
      <c r="G83" s="1" t="s">
        <v>13</v>
      </c>
      <c r="H83" s="1" t="s">
        <v>12</v>
      </c>
      <c r="I83">
        <v>36343.620000000003</v>
      </c>
      <c r="J83">
        <v>-449.74</v>
      </c>
    </row>
    <row r="84" spans="1:10" x14ac:dyDescent="0.25">
      <c r="A84" s="1" t="s">
        <v>16</v>
      </c>
      <c r="B84">
        <v>1988</v>
      </c>
      <c r="C84" s="1" t="s">
        <v>11</v>
      </c>
      <c r="D84" s="1" t="s">
        <v>12</v>
      </c>
      <c r="E84">
        <v>38106.629999999997</v>
      </c>
      <c r="F84">
        <v>1989</v>
      </c>
      <c r="G84" s="1" t="s">
        <v>13</v>
      </c>
      <c r="H84" s="1" t="s">
        <v>12</v>
      </c>
      <c r="I84">
        <v>36011.85</v>
      </c>
      <c r="J84">
        <v>-2094.7800000000002</v>
      </c>
    </row>
    <row r="85" spans="1:10" x14ac:dyDescent="0.25">
      <c r="A85" s="1" t="s">
        <v>19</v>
      </c>
      <c r="B85">
        <v>1988</v>
      </c>
      <c r="C85" s="1" t="s">
        <v>11</v>
      </c>
      <c r="D85" s="1" t="s">
        <v>12</v>
      </c>
      <c r="E85">
        <v>28240.07</v>
      </c>
      <c r="F85">
        <v>1989</v>
      </c>
      <c r="G85" s="1" t="s">
        <v>11</v>
      </c>
      <c r="H85" s="1" t="s">
        <v>12</v>
      </c>
      <c r="I85">
        <v>32983.22</v>
      </c>
      <c r="J85">
        <v>4743.1499999999996</v>
      </c>
    </row>
    <row r="86" spans="1:10" x14ac:dyDescent="0.25">
      <c r="A86" s="1" t="s">
        <v>33</v>
      </c>
      <c r="B86">
        <v>1989</v>
      </c>
      <c r="C86" s="1" t="s">
        <v>11</v>
      </c>
      <c r="D86" s="1" t="s">
        <v>12</v>
      </c>
      <c r="E86">
        <v>30764.59</v>
      </c>
      <c r="F86">
        <v>1990</v>
      </c>
      <c r="G86" s="1" t="s">
        <v>13</v>
      </c>
      <c r="H86" s="1" t="s">
        <v>12</v>
      </c>
      <c r="I86">
        <v>27696.22</v>
      </c>
      <c r="J86">
        <v>-3068.37</v>
      </c>
    </row>
    <row r="87" spans="1:10" x14ac:dyDescent="0.25">
      <c r="A87" s="1" t="s">
        <v>19</v>
      </c>
      <c r="B87">
        <v>1989</v>
      </c>
      <c r="C87" s="1" t="s">
        <v>11</v>
      </c>
      <c r="D87" s="1" t="s">
        <v>12</v>
      </c>
      <c r="E87">
        <v>32983.22</v>
      </c>
      <c r="F87">
        <v>1990</v>
      </c>
      <c r="G87" s="1" t="s">
        <v>11</v>
      </c>
      <c r="H87" s="1" t="s">
        <v>12</v>
      </c>
      <c r="I87">
        <v>35842.01</v>
      </c>
      <c r="J87">
        <v>2858.79</v>
      </c>
    </row>
    <row r="88" spans="1:10" x14ac:dyDescent="0.25">
      <c r="A88" s="1" t="s">
        <v>20</v>
      </c>
      <c r="B88">
        <v>1989</v>
      </c>
      <c r="C88" s="1" t="s">
        <v>11</v>
      </c>
      <c r="D88" s="1" t="s">
        <v>12</v>
      </c>
      <c r="E88">
        <v>25682.67</v>
      </c>
      <c r="F88">
        <v>1990</v>
      </c>
      <c r="G88" s="1" t="s">
        <v>13</v>
      </c>
      <c r="H88" s="1" t="s">
        <v>12</v>
      </c>
      <c r="I88">
        <v>24705</v>
      </c>
      <c r="J88">
        <v>-977.67</v>
      </c>
    </row>
    <row r="89" spans="1:10" x14ac:dyDescent="0.25">
      <c r="A89" s="1" t="s">
        <v>35</v>
      </c>
      <c r="B89">
        <v>1989</v>
      </c>
      <c r="C89" s="1" t="s">
        <v>11</v>
      </c>
      <c r="D89" s="1" t="s">
        <v>12</v>
      </c>
      <c r="E89">
        <v>41687.57</v>
      </c>
      <c r="F89">
        <v>1990</v>
      </c>
      <c r="G89" s="1" t="s">
        <v>13</v>
      </c>
      <c r="H89" s="1" t="s">
        <v>12</v>
      </c>
      <c r="I89">
        <v>47955.360000000001</v>
      </c>
      <c r="J89">
        <v>6267.79</v>
      </c>
    </row>
    <row r="90" spans="1:10" x14ac:dyDescent="0.25">
      <c r="A90" s="1" t="s">
        <v>23</v>
      </c>
      <c r="B90">
        <v>1990</v>
      </c>
      <c r="C90" s="1" t="s">
        <v>11</v>
      </c>
      <c r="D90" s="1" t="s">
        <v>12</v>
      </c>
      <c r="E90">
        <v>31023.43</v>
      </c>
      <c r="F90">
        <v>1991</v>
      </c>
      <c r="G90" s="1" t="s">
        <v>13</v>
      </c>
      <c r="H90" s="1" t="s">
        <v>12</v>
      </c>
      <c r="I90">
        <v>32041.43</v>
      </c>
      <c r="J90">
        <v>1018</v>
      </c>
    </row>
    <row r="91" spans="1:10" x14ac:dyDescent="0.25">
      <c r="A91" s="1" t="s">
        <v>17</v>
      </c>
      <c r="B91">
        <v>1990</v>
      </c>
      <c r="C91" s="1" t="s">
        <v>11</v>
      </c>
      <c r="D91" s="1" t="s">
        <v>12</v>
      </c>
      <c r="E91">
        <v>29723</v>
      </c>
      <c r="F91">
        <v>1991</v>
      </c>
      <c r="G91" s="1" t="s">
        <v>13</v>
      </c>
      <c r="H91" s="1" t="s">
        <v>12</v>
      </c>
      <c r="I91">
        <v>29288.6</v>
      </c>
      <c r="J91">
        <v>-434.4</v>
      </c>
    </row>
    <row r="92" spans="1:10" x14ac:dyDescent="0.25">
      <c r="A92" s="1" t="s">
        <v>19</v>
      </c>
      <c r="B92">
        <v>1990</v>
      </c>
      <c r="C92" s="1" t="s">
        <v>11</v>
      </c>
      <c r="D92" s="1" t="s">
        <v>12</v>
      </c>
      <c r="E92">
        <v>35842.01</v>
      </c>
      <c r="F92">
        <v>1991</v>
      </c>
      <c r="G92" s="1" t="s">
        <v>13</v>
      </c>
      <c r="H92" s="1" t="s">
        <v>12</v>
      </c>
      <c r="I92">
        <v>33496.21</v>
      </c>
      <c r="J92">
        <v>-2345.8000000000002</v>
      </c>
    </row>
    <row r="93" spans="1:10" x14ac:dyDescent="0.25">
      <c r="A93" s="1" t="s">
        <v>18</v>
      </c>
      <c r="B93">
        <v>1990</v>
      </c>
      <c r="C93" s="1" t="s">
        <v>11</v>
      </c>
      <c r="D93" s="1" t="s">
        <v>12</v>
      </c>
      <c r="E93">
        <v>25330.94</v>
      </c>
      <c r="F93">
        <v>1991</v>
      </c>
      <c r="G93" s="1" t="s">
        <v>11</v>
      </c>
      <c r="H93" s="1" t="s">
        <v>12</v>
      </c>
      <c r="I93">
        <v>24678.9</v>
      </c>
      <c r="J93">
        <v>-652.04</v>
      </c>
    </row>
    <row r="94" spans="1:10" x14ac:dyDescent="0.25">
      <c r="A94" s="1" t="s">
        <v>10</v>
      </c>
      <c r="B94">
        <v>1991</v>
      </c>
      <c r="C94" s="1" t="s">
        <v>11</v>
      </c>
      <c r="D94" s="1" t="s">
        <v>12</v>
      </c>
      <c r="E94">
        <v>26422.43</v>
      </c>
      <c r="F94">
        <v>1992</v>
      </c>
      <c r="G94" s="1" t="s">
        <v>11</v>
      </c>
      <c r="H94" s="1" t="s">
        <v>12</v>
      </c>
      <c r="I94">
        <v>37992.589999999997</v>
      </c>
      <c r="J94">
        <v>11570.16</v>
      </c>
    </row>
    <row r="95" spans="1:10" x14ac:dyDescent="0.25">
      <c r="A95" s="1" t="s">
        <v>15</v>
      </c>
      <c r="B95">
        <v>1991</v>
      </c>
      <c r="C95" s="1" t="s">
        <v>11</v>
      </c>
      <c r="D95" s="1" t="s">
        <v>12</v>
      </c>
      <c r="E95">
        <v>28319.040000000001</v>
      </c>
      <c r="F95">
        <v>1992</v>
      </c>
      <c r="G95" s="1" t="s">
        <v>13</v>
      </c>
      <c r="H95" s="1" t="s">
        <v>12</v>
      </c>
      <c r="I95">
        <v>30644.3</v>
      </c>
      <c r="J95">
        <v>2325.2600000000002</v>
      </c>
    </row>
    <row r="96" spans="1:10" x14ac:dyDescent="0.25">
      <c r="A96" s="1" t="s">
        <v>18</v>
      </c>
      <c r="B96">
        <v>1991</v>
      </c>
      <c r="C96" s="1" t="s">
        <v>11</v>
      </c>
      <c r="D96" s="1" t="s">
        <v>12</v>
      </c>
      <c r="E96">
        <v>24678.9</v>
      </c>
      <c r="F96">
        <v>1992</v>
      </c>
      <c r="G96" s="1" t="s">
        <v>11</v>
      </c>
      <c r="H96" s="1" t="s">
        <v>12</v>
      </c>
      <c r="I96">
        <v>22648.43</v>
      </c>
      <c r="J96">
        <v>-2030.47</v>
      </c>
    </row>
    <row r="97" spans="1:10" x14ac:dyDescent="0.25">
      <c r="A97" s="1" t="s">
        <v>35</v>
      </c>
      <c r="B97">
        <v>1991</v>
      </c>
      <c r="C97" s="1" t="s">
        <v>11</v>
      </c>
      <c r="D97" s="1" t="s">
        <v>12</v>
      </c>
      <c r="E97">
        <v>49401.56</v>
      </c>
      <c r="F97">
        <v>1992</v>
      </c>
      <c r="G97" s="1" t="s">
        <v>11</v>
      </c>
      <c r="H97" s="1" t="s">
        <v>12</v>
      </c>
      <c r="I97">
        <v>49732.32</v>
      </c>
      <c r="J97">
        <v>330.76</v>
      </c>
    </row>
    <row r="98" spans="1:10" x14ac:dyDescent="0.25">
      <c r="A98" s="1" t="s">
        <v>10</v>
      </c>
      <c r="B98">
        <v>1992</v>
      </c>
      <c r="C98" s="1" t="s">
        <v>11</v>
      </c>
      <c r="D98" s="1" t="s">
        <v>12</v>
      </c>
      <c r="E98">
        <v>37992.589999999997</v>
      </c>
      <c r="F98">
        <v>1993</v>
      </c>
      <c r="G98" s="1" t="s">
        <v>11</v>
      </c>
      <c r="H98" s="1" t="s">
        <v>12</v>
      </c>
      <c r="I98">
        <v>47895.16</v>
      </c>
      <c r="J98">
        <v>9902.57</v>
      </c>
    </row>
    <row r="99" spans="1:10" x14ac:dyDescent="0.25">
      <c r="A99" s="1" t="s">
        <v>19</v>
      </c>
      <c r="B99">
        <v>1992</v>
      </c>
      <c r="C99" s="1" t="s">
        <v>11</v>
      </c>
      <c r="D99" s="1" t="s">
        <v>12</v>
      </c>
      <c r="E99">
        <v>30792.1</v>
      </c>
      <c r="F99">
        <v>1993</v>
      </c>
      <c r="G99" s="1" t="s">
        <v>13</v>
      </c>
      <c r="H99" s="1" t="s">
        <v>12</v>
      </c>
      <c r="I99">
        <v>25050.16</v>
      </c>
      <c r="J99">
        <v>-5741.94</v>
      </c>
    </row>
    <row r="100" spans="1:10" x14ac:dyDescent="0.25">
      <c r="A100" s="1" t="s">
        <v>18</v>
      </c>
      <c r="B100">
        <v>1992</v>
      </c>
      <c r="C100" s="1" t="s">
        <v>11</v>
      </c>
      <c r="D100" s="1" t="s">
        <v>12</v>
      </c>
      <c r="E100">
        <v>22648.43</v>
      </c>
      <c r="F100">
        <v>1993</v>
      </c>
      <c r="G100" s="1" t="s">
        <v>13</v>
      </c>
      <c r="H100" s="1" t="s">
        <v>12</v>
      </c>
      <c r="I100">
        <v>20406.439999999999</v>
      </c>
      <c r="J100">
        <v>-2241.9899999999998</v>
      </c>
    </row>
    <row r="101" spans="1:10" x14ac:dyDescent="0.25">
      <c r="A101" s="1" t="s">
        <v>35</v>
      </c>
      <c r="B101">
        <v>1992</v>
      </c>
      <c r="C101" s="1" t="s">
        <v>11</v>
      </c>
      <c r="D101" s="1" t="s">
        <v>12</v>
      </c>
      <c r="E101">
        <v>49732.32</v>
      </c>
      <c r="F101">
        <v>1993</v>
      </c>
      <c r="G101" s="1" t="s">
        <v>11</v>
      </c>
      <c r="H101" s="1" t="s">
        <v>12</v>
      </c>
      <c r="I101">
        <v>50095.64</v>
      </c>
      <c r="J101">
        <v>363.32</v>
      </c>
    </row>
    <row r="102" spans="1:10" x14ac:dyDescent="0.25">
      <c r="A102" s="1" t="s">
        <v>10</v>
      </c>
      <c r="B102">
        <v>1993</v>
      </c>
      <c r="C102" s="1" t="s">
        <v>11</v>
      </c>
      <c r="D102" s="1" t="s">
        <v>12</v>
      </c>
      <c r="E102">
        <v>47895.16</v>
      </c>
      <c r="F102">
        <v>1994</v>
      </c>
      <c r="G102" s="1" t="s">
        <v>12</v>
      </c>
      <c r="H102" s="1" t="s">
        <v>12</v>
      </c>
      <c r="I102">
        <v>46077.09</v>
      </c>
      <c r="J102">
        <v>-1818.07</v>
      </c>
    </row>
    <row r="103" spans="1:10" x14ac:dyDescent="0.25">
      <c r="A103" s="1" t="s">
        <v>32</v>
      </c>
      <c r="B103">
        <v>1993</v>
      </c>
      <c r="C103" s="1" t="s">
        <v>11</v>
      </c>
      <c r="D103" s="1" t="s">
        <v>12</v>
      </c>
      <c r="E103">
        <v>31864.95</v>
      </c>
      <c r="F103">
        <v>1994</v>
      </c>
      <c r="G103" s="1" t="s">
        <v>12</v>
      </c>
      <c r="H103" s="1" t="s">
        <v>12</v>
      </c>
      <c r="I103">
        <v>32027.32</v>
      </c>
      <c r="J103">
        <v>162.37</v>
      </c>
    </row>
    <row r="104" spans="1:10" x14ac:dyDescent="0.25">
      <c r="A104" s="1" t="s">
        <v>26</v>
      </c>
      <c r="B104">
        <v>1993</v>
      </c>
      <c r="C104" s="1" t="s">
        <v>11</v>
      </c>
      <c r="D104" s="1" t="s">
        <v>12</v>
      </c>
      <c r="E104">
        <v>38734.720000000001</v>
      </c>
      <c r="F104">
        <v>1994</v>
      </c>
      <c r="G104" s="1" t="s">
        <v>12</v>
      </c>
      <c r="H104" s="1" t="s">
        <v>12</v>
      </c>
      <c r="I104">
        <v>38166.050000000003</v>
      </c>
      <c r="J104">
        <v>-568.66999999999996</v>
      </c>
    </row>
    <row r="105" spans="1:10" x14ac:dyDescent="0.25">
      <c r="A105" s="1" t="s">
        <v>35</v>
      </c>
      <c r="B105">
        <v>1993</v>
      </c>
      <c r="C105" s="1" t="s">
        <v>11</v>
      </c>
      <c r="D105" s="1" t="s">
        <v>12</v>
      </c>
      <c r="E105">
        <v>50095.64</v>
      </c>
      <c r="F105">
        <v>1994</v>
      </c>
      <c r="G105" s="1" t="s">
        <v>12</v>
      </c>
      <c r="H105" s="1" t="s">
        <v>12</v>
      </c>
      <c r="I105">
        <v>49287.27</v>
      </c>
      <c r="J105">
        <v>-808.37</v>
      </c>
    </row>
    <row r="106" spans="1:10" x14ac:dyDescent="0.25">
      <c r="A106" s="1" t="s">
        <v>10</v>
      </c>
      <c r="B106">
        <v>1995</v>
      </c>
      <c r="C106" s="1" t="s">
        <v>11</v>
      </c>
      <c r="D106" s="1" t="s">
        <v>13</v>
      </c>
      <c r="E106">
        <v>35617.94</v>
      </c>
      <c r="F106">
        <v>1996</v>
      </c>
      <c r="G106" s="1" t="s">
        <v>11</v>
      </c>
      <c r="H106" s="1" t="s">
        <v>13</v>
      </c>
      <c r="I106">
        <v>35787.730000000003</v>
      </c>
      <c r="J106">
        <v>169.79</v>
      </c>
    </row>
    <row r="107" spans="1:10" x14ac:dyDescent="0.25">
      <c r="A107" s="1" t="s">
        <v>23</v>
      </c>
      <c r="B107">
        <v>1995</v>
      </c>
      <c r="C107" s="1" t="s">
        <v>11</v>
      </c>
      <c r="D107" s="1" t="s">
        <v>13</v>
      </c>
      <c r="E107">
        <v>30061.13</v>
      </c>
      <c r="F107">
        <v>1996</v>
      </c>
      <c r="G107" s="1" t="s">
        <v>13</v>
      </c>
      <c r="H107" s="1" t="s">
        <v>13</v>
      </c>
      <c r="I107">
        <v>28584.560000000001</v>
      </c>
      <c r="J107">
        <v>-1476.57</v>
      </c>
    </row>
    <row r="108" spans="1:10" x14ac:dyDescent="0.25">
      <c r="A108" s="1" t="s">
        <v>17</v>
      </c>
      <c r="B108">
        <v>1995</v>
      </c>
      <c r="C108" s="1" t="s">
        <v>11</v>
      </c>
      <c r="D108" s="1" t="s">
        <v>13</v>
      </c>
      <c r="E108">
        <v>25416.880000000001</v>
      </c>
      <c r="F108">
        <v>1996</v>
      </c>
      <c r="G108" s="1" t="s">
        <v>13</v>
      </c>
      <c r="H108" s="1" t="s">
        <v>13</v>
      </c>
      <c r="I108">
        <v>23104.43</v>
      </c>
      <c r="J108">
        <v>-2312.4499999999998</v>
      </c>
    </row>
    <row r="109" spans="1:10" x14ac:dyDescent="0.25">
      <c r="A109" s="1" t="s">
        <v>36</v>
      </c>
      <c r="B109">
        <v>1995</v>
      </c>
      <c r="C109" s="1" t="s">
        <v>11</v>
      </c>
      <c r="D109" s="1" t="s">
        <v>13</v>
      </c>
      <c r="E109">
        <v>39482.25</v>
      </c>
      <c r="F109">
        <v>1996</v>
      </c>
      <c r="G109" s="1" t="s">
        <v>11</v>
      </c>
      <c r="H109" s="1" t="s">
        <v>13</v>
      </c>
      <c r="I109">
        <v>41500.980000000003</v>
      </c>
      <c r="J109">
        <v>2018.73</v>
      </c>
    </row>
    <row r="110" spans="1:10" x14ac:dyDescent="0.25">
      <c r="A110" s="1" t="s">
        <v>37</v>
      </c>
      <c r="B110">
        <v>1995</v>
      </c>
      <c r="C110" s="1" t="s">
        <v>13</v>
      </c>
      <c r="D110" s="1" t="s">
        <v>11</v>
      </c>
      <c r="E110">
        <v>47252.9</v>
      </c>
      <c r="F110">
        <v>1996</v>
      </c>
      <c r="G110" s="1" t="s">
        <v>13</v>
      </c>
      <c r="H110" s="1" t="s">
        <v>13</v>
      </c>
      <c r="I110">
        <v>48226.27</v>
      </c>
      <c r="J110">
        <v>973.37</v>
      </c>
    </row>
    <row r="111" spans="1:10" x14ac:dyDescent="0.25">
      <c r="A111" s="1" t="s">
        <v>22</v>
      </c>
      <c r="B111">
        <v>1995</v>
      </c>
      <c r="C111" s="1" t="s">
        <v>11</v>
      </c>
      <c r="D111" s="1" t="s">
        <v>13</v>
      </c>
      <c r="E111">
        <v>38425.39</v>
      </c>
      <c r="F111">
        <v>1996</v>
      </c>
      <c r="G111" s="1" t="s">
        <v>13</v>
      </c>
      <c r="H111" s="1" t="s">
        <v>11</v>
      </c>
      <c r="I111">
        <v>39363.629999999997</v>
      </c>
      <c r="J111">
        <v>938.24</v>
      </c>
    </row>
    <row r="112" spans="1:10" x14ac:dyDescent="0.25">
      <c r="A112" s="1" t="s">
        <v>25</v>
      </c>
      <c r="B112">
        <v>1995</v>
      </c>
      <c r="C112" s="1" t="s">
        <v>13</v>
      </c>
      <c r="D112" s="1" t="s">
        <v>11</v>
      </c>
      <c r="E112">
        <v>23413.68</v>
      </c>
      <c r="F112">
        <v>1996</v>
      </c>
      <c r="G112" s="1" t="s">
        <v>11</v>
      </c>
      <c r="H112" s="1" t="s">
        <v>13</v>
      </c>
      <c r="I112">
        <v>28188.14</v>
      </c>
      <c r="J112">
        <v>4774.46</v>
      </c>
    </row>
    <row r="113" spans="1:10" x14ac:dyDescent="0.25">
      <c r="A113" s="1" t="s">
        <v>38</v>
      </c>
      <c r="B113">
        <v>1995</v>
      </c>
      <c r="C113" s="1" t="s">
        <v>11</v>
      </c>
      <c r="D113" s="1" t="s">
        <v>13</v>
      </c>
      <c r="E113">
        <v>22470.95</v>
      </c>
      <c r="F113">
        <v>1996</v>
      </c>
      <c r="G113" s="1" t="s">
        <v>13</v>
      </c>
      <c r="H113" s="1" t="s">
        <v>13</v>
      </c>
      <c r="I113">
        <v>33593.49</v>
      </c>
      <c r="J113">
        <v>11122.54</v>
      </c>
    </row>
    <row r="114" spans="1:10" x14ac:dyDescent="0.25">
      <c r="A114" s="1" t="s">
        <v>10</v>
      </c>
      <c r="B114">
        <v>1996</v>
      </c>
      <c r="C114" s="1" t="s">
        <v>11</v>
      </c>
      <c r="D114" s="1" t="s">
        <v>13</v>
      </c>
      <c r="E114">
        <v>35787.730000000003</v>
      </c>
      <c r="F114">
        <v>1997</v>
      </c>
      <c r="G114" s="1" t="s">
        <v>11</v>
      </c>
      <c r="H114" s="1" t="s">
        <v>13</v>
      </c>
      <c r="I114">
        <v>42563.06</v>
      </c>
      <c r="J114">
        <v>6775.33</v>
      </c>
    </row>
    <row r="115" spans="1:10" x14ac:dyDescent="0.25">
      <c r="A115" s="1" t="s">
        <v>14</v>
      </c>
      <c r="B115">
        <v>1996</v>
      </c>
      <c r="C115" s="1" t="s">
        <v>13</v>
      </c>
      <c r="D115" s="1" t="s">
        <v>11</v>
      </c>
      <c r="E115">
        <v>44570.29</v>
      </c>
      <c r="F115">
        <v>1997</v>
      </c>
      <c r="G115" s="1" t="s">
        <v>11</v>
      </c>
      <c r="H115" s="1" t="s">
        <v>13</v>
      </c>
      <c r="I115">
        <v>45585.04</v>
      </c>
      <c r="J115">
        <v>1014.75</v>
      </c>
    </row>
    <row r="116" spans="1:10" x14ac:dyDescent="0.25">
      <c r="A116" s="1" t="s">
        <v>36</v>
      </c>
      <c r="B116">
        <v>1996</v>
      </c>
      <c r="C116" s="1" t="s">
        <v>11</v>
      </c>
      <c r="D116" s="1" t="s">
        <v>13</v>
      </c>
      <c r="E116">
        <v>41500.980000000003</v>
      </c>
      <c r="F116">
        <v>1997</v>
      </c>
      <c r="G116" s="1" t="s">
        <v>11</v>
      </c>
      <c r="H116" s="1" t="s">
        <v>13</v>
      </c>
      <c r="I116">
        <v>41910.49</v>
      </c>
      <c r="J116">
        <v>409.51</v>
      </c>
    </row>
    <row r="117" spans="1:10" x14ac:dyDescent="0.25">
      <c r="A117" s="1" t="s">
        <v>22</v>
      </c>
      <c r="B117">
        <v>1996</v>
      </c>
      <c r="C117" s="1" t="s">
        <v>13</v>
      </c>
      <c r="D117" s="1" t="s">
        <v>11</v>
      </c>
      <c r="E117">
        <v>39363.629999999997</v>
      </c>
      <c r="F117">
        <v>1997</v>
      </c>
      <c r="G117" s="1" t="s">
        <v>13</v>
      </c>
      <c r="H117" s="1" t="s">
        <v>13</v>
      </c>
      <c r="I117">
        <v>40979.26</v>
      </c>
      <c r="J117">
        <v>1615.63</v>
      </c>
    </row>
    <row r="118" spans="1:10" x14ac:dyDescent="0.25">
      <c r="A118" s="1" t="s">
        <v>25</v>
      </c>
      <c r="B118">
        <v>1996</v>
      </c>
      <c r="C118" s="1" t="s">
        <v>11</v>
      </c>
      <c r="D118" s="1" t="s">
        <v>13</v>
      </c>
      <c r="E118">
        <v>28188.14</v>
      </c>
      <c r="F118">
        <v>1997</v>
      </c>
      <c r="G118" s="1" t="s">
        <v>13</v>
      </c>
      <c r="H118" s="1" t="s">
        <v>11</v>
      </c>
      <c r="I118">
        <v>32263.040000000001</v>
      </c>
      <c r="J118">
        <v>4074.9</v>
      </c>
    </row>
    <row r="119" spans="1:10" x14ac:dyDescent="0.25">
      <c r="A119" s="1" t="s">
        <v>34</v>
      </c>
      <c r="B119">
        <v>1996</v>
      </c>
      <c r="C119" s="1" t="s">
        <v>11</v>
      </c>
      <c r="D119" s="1" t="s">
        <v>13</v>
      </c>
      <c r="E119">
        <v>27258.25</v>
      </c>
      <c r="F119">
        <v>1997</v>
      </c>
      <c r="G119" s="1" t="s">
        <v>13</v>
      </c>
      <c r="H119" s="1" t="s">
        <v>13</v>
      </c>
      <c r="I119">
        <v>25794.23</v>
      </c>
      <c r="J119">
        <v>-1464.02</v>
      </c>
    </row>
    <row r="120" spans="1:10" x14ac:dyDescent="0.25">
      <c r="A120" s="1" t="s">
        <v>31</v>
      </c>
      <c r="B120">
        <v>1996</v>
      </c>
      <c r="C120" s="1" t="s">
        <v>11</v>
      </c>
      <c r="D120" s="1" t="s">
        <v>13</v>
      </c>
      <c r="E120">
        <v>32664.49</v>
      </c>
      <c r="F120">
        <v>1997</v>
      </c>
      <c r="G120" s="1" t="s">
        <v>13</v>
      </c>
      <c r="H120" s="1" t="s">
        <v>13</v>
      </c>
      <c r="I120">
        <v>32772.44</v>
      </c>
      <c r="J120">
        <v>107.95</v>
      </c>
    </row>
    <row r="121" spans="1:10" x14ac:dyDescent="0.25">
      <c r="A121" s="1" t="s">
        <v>39</v>
      </c>
      <c r="B121">
        <v>1996</v>
      </c>
      <c r="C121" s="1" t="s">
        <v>11</v>
      </c>
      <c r="D121" s="1" t="s">
        <v>13</v>
      </c>
      <c r="E121">
        <v>35667.160000000003</v>
      </c>
      <c r="F121">
        <v>1997</v>
      </c>
      <c r="G121" s="1" t="s">
        <v>13</v>
      </c>
      <c r="H121" s="1" t="s">
        <v>13</v>
      </c>
      <c r="I121">
        <v>36093.699999999997</v>
      </c>
      <c r="J121">
        <v>426.54</v>
      </c>
    </row>
    <row r="122" spans="1:10" x14ac:dyDescent="0.25">
      <c r="A122" s="1" t="s">
        <v>10</v>
      </c>
      <c r="B122">
        <v>1997</v>
      </c>
      <c r="C122" s="1" t="s">
        <v>11</v>
      </c>
      <c r="D122" s="1" t="s">
        <v>13</v>
      </c>
      <c r="E122">
        <v>42563.06</v>
      </c>
      <c r="F122">
        <v>1998</v>
      </c>
      <c r="G122" s="1" t="s">
        <v>11</v>
      </c>
      <c r="H122" s="1" t="s">
        <v>13</v>
      </c>
      <c r="I122">
        <v>41498.15</v>
      </c>
      <c r="J122">
        <v>-1064.9100000000001</v>
      </c>
    </row>
    <row r="123" spans="1:10" x14ac:dyDescent="0.25">
      <c r="A123" s="1" t="s">
        <v>14</v>
      </c>
      <c r="B123">
        <v>1997</v>
      </c>
      <c r="C123" s="1" t="s">
        <v>11</v>
      </c>
      <c r="D123" s="1" t="s">
        <v>13</v>
      </c>
      <c r="E123">
        <v>45585.04</v>
      </c>
      <c r="F123">
        <v>1998</v>
      </c>
      <c r="G123" s="1" t="s">
        <v>13</v>
      </c>
      <c r="H123" s="1" t="s">
        <v>13</v>
      </c>
      <c r="I123">
        <v>45488.4</v>
      </c>
      <c r="J123">
        <v>-96.64</v>
      </c>
    </row>
    <row r="124" spans="1:10" x14ac:dyDescent="0.25">
      <c r="A124" s="1" t="s">
        <v>36</v>
      </c>
      <c r="B124">
        <v>1997</v>
      </c>
      <c r="C124" s="1" t="s">
        <v>11</v>
      </c>
      <c r="D124" s="1" t="s">
        <v>13</v>
      </c>
      <c r="E124">
        <v>41910.49</v>
      </c>
      <c r="F124">
        <v>1998</v>
      </c>
      <c r="G124" s="1" t="s">
        <v>11</v>
      </c>
      <c r="H124" s="1" t="s">
        <v>13</v>
      </c>
      <c r="I124">
        <v>42806.16</v>
      </c>
      <c r="J124">
        <v>895.67</v>
      </c>
    </row>
    <row r="125" spans="1:10" x14ac:dyDescent="0.25">
      <c r="A125" s="1" t="s">
        <v>40</v>
      </c>
      <c r="B125">
        <v>1997</v>
      </c>
      <c r="C125" s="1" t="s">
        <v>13</v>
      </c>
      <c r="D125" s="1" t="s">
        <v>11</v>
      </c>
      <c r="E125">
        <v>29044.04</v>
      </c>
      <c r="F125">
        <v>1998</v>
      </c>
      <c r="G125" s="1" t="s">
        <v>13</v>
      </c>
      <c r="H125" s="1" t="s">
        <v>13</v>
      </c>
      <c r="I125">
        <v>21609.81</v>
      </c>
      <c r="J125">
        <v>-7434.23</v>
      </c>
    </row>
    <row r="126" spans="1:10" x14ac:dyDescent="0.25">
      <c r="A126" s="1" t="s">
        <v>28</v>
      </c>
      <c r="B126">
        <v>1997</v>
      </c>
      <c r="C126" s="1" t="s">
        <v>11</v>
      </c>
      <c r="D126" s="1" t="s">
        <v>13</v>
      </c>
      <c r="E126">
        <v>25262.65</v>
      </c>
      <c r="F126">
        <v>1998</v>
      </c>
      <c r="G126" s="1" t="s">
        <v>11</v>
      </c>
      <c r="H126" s="1" t="s">
        <v>13</v>
      </c>
      <c r="I126">
        <v>30252.48</v>
      </c>
      <c r="J126">
        <v>4989.83</v>
      </c>
    </row>
    <row r="127" spans="1:10" x14ac:dyDescent="0.25">
      <c r="A127" s="1" t="s">
        <v>25</v>
      </c>
      <c r="B127">
        <v>1997</v>
      </c>
      <c r="C127" s="1" t="s">
        <v>13</v>
      </c>
      <c r="D127" s="1" t="s">
        <v>11</v>
      </c>
      <c r="E127">
        <v>32263.040000000001</v>
      </c>
      <c r="F127">
        <v>1998</v>
      </c>
      <c r="G127" s="1" t="s">
        <v>11</v>
      </c>
      <c r="H127" s="1" t="s">
        <v>13</v>
      </c>
      <c r="I127">
        <v>36416.47</v>
      </c>
      <c r="J127">
        <v>4153.43</v>
      </c>
    </row>
    <row r="128" spans="1:10" x14ac:dyDescent="0.25">
      <c r="A128" s="1" t="s">
        <v>38</v>
      </c>
      <c r="B128">
        <v>1997</v>
      </c>
      <c r="C128" s="1" t="s">
        <v>11</v>
      </c>
      <c r="D128" s="1" t="s">
        <v>13</v>
      </c>
      <c r="E128">
        <v>39469.800000000003</v>
      </c>
      <c r="F128">
        <v>1998</v>
      </c>
      <c r="G128" s="1" t="s">
        <v>13</v>
      </c>
      <c r="H128" s="1" t="s">
        <v>13</v>
      </c>
      <c r="I128">
        <v>32734.7</v>
      </c>
      <c r="J128">
        <v>-6735.1</v>
      </c>
    </row>
    <row r="129" spans="1:10" x14ac:dyDescent="0.25">
      <c r="A129" s="1" t="s">
        <v>20</v>
      </c>
      <c r="B129">
        <v>1997</v>
      </c>
      <c r="C129" s="1" t="s">
        <v>11</v>
      </c>
      <c r="D129" s="1" t="s">
        <v>13</v>
      </c>
      <c r="E129">
        <v>20945.47</v>
      </c>
      <c r="F129">
        <v>1998</v>
      </c>
      <c r="G129" s="1" t="s">
        <v>13</v>
      </c>
      <c r="H129" s="1" t="s">
        <v>13</v>
      </c>
      <c r="I129">
        <v>23773.26</v>
      </c>
      <c r="J129">
        <v>2827.79</v>
      </c>
    </row>
    <row r="130" spans="1:10" x14ac:dyDescent="0.25">
      <c r="A130" s="1" t="s">
        <v>10</v>
      </c>
      <c r="B130">
        <v>1998</v>
      </c>
      <c r="C130" s="1" t="s">
        <v>11</v>
      </c>
      <c r="D130" s="1" t="s">
        <v>13</v>
      </c>
      <c r="E130">
        <v>41498.15</v>
      </c>
      <c r="F130">
        <v>1999</v>
      </c>
      <c r="G130" s="1" t="s">
        <v>11</v>
      </c>
      <c r="H130" s="1" t="s">
        <v>13</v>
      </c>
      <c r="I130">
        <v>40554.33</v>
      </c>
      <c r="J130">
        <v>-943.82</v>
      </c>
    </row>
    <row r="131" spans="1:10" x14ac:dyDescent="0.25">
      <c r="A131" s="1" t="s">
        <v>23</v>
      </c>
      <c r="B131">
        <v>1998</v>
      </c>
      <c r="C131" s="1" t="s">
        <v>13</v>
      </c>
      <c r="D131" s="1" t="s">
        <v>11</v>
      </c>
      <c r="E131">
        <v>28937.41</v>
      </c>
      <c r="F131">
        <v>1999</v>
      </c>
      <c r="G131" s="1" t="s">
        <v>13</v>
      </c>
      <c r="H131" s="1" t="s">
        <v>11</v>
      </c>
      <c r="I131">
        <v>30200.95</v>
      </c>
      <c r="J131">
        <v>1263.54</v>
      </c>
    </row>
    <row r="132" spans="1:10" x14ac:dyDescent="0.25">
      <c r="A132" s="1" t="s">
        <v>33</v>
      </c>
      <c r="B132">
        <v>1998</v>
      </c>
      <c r="C132" s="1" t="s">
        <v>13</v>
      </c>
      <c r="D132" s="1" t="s">
        <v>11</v>
      </c>
      <c r="E132">
        <v>31987.8</v>
      </c>
      <c r="F132">
        <v>1999</v>
      </c>
      <c r="G132" s="1" t="s">
        <v>13</v>
      </c>
      <c r="H132" s="1" t="s">
        <v>13</v>
      </c>
      <c r="I132">
        <v>34738.94</v>
      </c>
      <c r="J132">
        <v>2751.14</v>
      </c>
    </row>
    <row r="133" spans="1:10" x14ac:dyDescent="0.25">
      <c r="A133" s="1" t="s">
        <v>36</v>
      </c>
      <c r="B133">
        <v>1998</v>
      </c>
      <c r="C133" s="1" t="s">
        <v>11</v>
      </c>
      <c r="D133" s="1" t="s">
        <v>13</v>
      </c>
      <c r="E133">
        <v>42806.16</v>
      </c>
      <c r="F133">
        <v>1999</v>
      </c>
      <c r="G133" s="1" t="s">
        <v>11</v>
      </c>
      <c r="H133" s="1" t="s">
        <v>13</v>
      </c>
      <c r="I133">
        <v>42820.2</v>
      </c>
      <c r="J133">
        <v>14.04</v>
      </c>
    </row>
    <row r="134" spans="1:10" x14ac:dyDescent="0.25">
      <c r="A134" s="1" t="s">
        <v>28</v>
      </c>
      <c r="B134">
        <v>1998</v>
      </c>
      <c r="C134" s="1" t="s">
        <v>11</v>
      </c>
      <c r="D134" s="1" t="s">
        <v>13</v>
      </c>
      <c r="E134">
        <v>30252.48</v>
      </c>
      <c r="F134">
        <v>1999</v>
      </c>
      <c r="G134" s="1" t="s">
        <v>11</v>
      </c>
      <c r="H134" s="1" t="s">
        <v>13</v>
      </c>
      <c r="I134">
        <v>33000.21</v>
      </c>
      <c r="J134">
        <v>2747.73</v>
      </c>
    </row>
    <row r="135" spans="1:10" x14ac:dyDescent="0.25">
      <c r="A135" s="1" t="s">
        <v>25</v>
      </c>
      <c r="B135">
        <v>1998</v>
      </c>
      <c r="C135" s="1" t="s">
        <v>11</v>
      </c>
      <c r="D135" s="1" t="s">
        <v>13</v>
      </c>
      <c r="E135">
        <v>36416.47</v>
      </c>
      <c r="F135">
        <v>1999</v>
      </c>
      <c r="G135" s="1" t="s">
        <v>11</v>
      </c>
      <c r="H135" s="1" t="s">
        <v>13</v>
      </c>
      <c r="I135">
        <v>40657.519999999997</v>
      </c>
      <c r="J135">
        <v>4241.05</v>
      </c>
    </row>
    <row r="136" spans="1:10" x14ac:dyDescent="0.25">
      <c r="A136" s="1" t="s">
        <v>34</v>
      </c>
      <c r="B136">
        <v>1998</v>
      </c>
      <c r="C136" s="1" t="s">
        <v>11</v>
      </c>
      <c r="D136" s="1" t="s">
        <v>13</v>
      </c>
      <c r="E136">
        <v>31555.11</v>
      </c>
      <c r="F136">
        <v>1999</v>
      </c>
      <c r="G136" s="1" t="s">
        <v>13</v>
      </c>
      <c r="H136" s="1" t="s">
        <v>13</v>
      </c>
      <c r="I136">
        <v>31154.79</v>
      </c>
      <c r="J136">
        <v>-400.32</v>
      </c>
    </row>
    <row r="137" spans="1:10" x14ac:dyDescent="0.25">
      <c r="A137" s="1" t="s">
        <v>39</v>
      </c>
      <c r="B137">
        <v>1998</v>
      </c>
      <c r="C137" s="1" t="s">
        <v>11</v>
      </c>
      <c r="D137" s="1" t="s">
        <v>13</v>
      </c>
      <c r="E137">
        <v>36140.85</v>
      </c>
      <c r="F137">
        <v>1999</v>
      </c>
      <c r="G137" s="1" t="s">
        <v>11</v>
      </c>
      <c r="H137" s="1" t="s">
        <v>13</v>
      </c>
      <c r="I137">
        <v>34253.1</v>
      </c>
      <c r="J137">
        <v>-1887.75</v>
      </c>
    </row>
    <row r="138" spans="1:10" x14ac:dyDescent="0.25">
      <c r="A138" s="1" t="s">
        <v>41</v>
      </c>
      <c r="B138">
        <v>1999</v>
      </c>
      <c r="C138" s="1" t="s">
        <v>11</v>
      </c>
      <c r="D138" s="1" t="s">
        <v>13</v>
      </c>
      <c r="E138">
        <v>37233.93</v>
      </c>
      <c r="F138">
        <v>2000</v>
      </c>
      <c r="G138" s="1" t="s">
        <v>13</v>
      </c>
      <c r="H138" s="1" t="s">
        <v>13</v>
      </c>
      <c r="I138">
        <v>36324.089999999997</v>
      </c>
      <c r="J138">
        <v>-909.84</v>
      </c>
    </row>
    <row r="139" spans="1:10" x14ac:dyDescent="0.25">
      <c r="A139" s="1" t="s">
        <v>10</v>
      </c>
      <c r="B139">
        <v>1999</v>
      </c>
      <c r="C139" s="1" t="s">
        <v>11</v>
      </c>
      <c r="D139" s="1" t="s">
        <v>13</v>
      </c>
      <c r="E139">
        <v>40554.33</v>
      </c>
      <c r="F139">
        <v>2000</v>
      </c>
      <c r="G139" s="1" t="s">
        <v>11</v>
      </c>
      <c r="H139" s="1" t="s">
        <v>13</v>
      </c>
      <c r="I139">
        <v>39929.68</v>
      </c>
      <c r="J139">
        <v>-624.65</v>
      </c>
    </row>
    <row r="140" spans="1:10" x14ac:dyDescent="0.25">
      <c r="A140" s="1" t="s">
        <v>23</v>
      </c>
      <c r="B140">
        <v>1999</v>
      </c>
      <c r="C140" s="1" t="s">
        <v>13</v>
      </c>
      <c r="D140" s="1" t="s">
        <v>11</v>
      </c>
      <c r="E140">
        <v>30200.95</v>
      </c>
      <c r="F140">
        <v>2000</v>
      </c>
      <c r="G140" s="1" t="s">
        <v>13</v>
      </c>
      <c r="H140" s="1" t="s">
        <v>13</v>
      </c>
      <c r="I140">
        <v>31924.63</v>
      </c>
      <c r="J140">
        <v>1723.68</v>
      </c>
    </row>
    <row r="141" spans="1:10" x14ac:dyDescent="0.25">
      <c r="A141" s="1" t="s">
        <v>36</v>
      </c>
      <c r="B141">
        <v>1999</v>
      </c>
      <c r="C141" s="1" t="s">
        <v>11</v>
      </c>
      <c r="D141" s="1" t="s">
        <v>13</v>
      </c>
      <c r="E141">
        <v>42820.2</v>
      </c>
      <c r="F141">
        <v>2000</v>
      </c>
      <c r="G141" s="1" t="s">
        <v>13</v>
      </c>
      <c r="H141" s="1" t="s">
        <v>13</v>
      </c>
      <c r="I141">
        <v>42670.1</v>
      </c>
      <c r="J141">
        <v>-150.1</v>
      </c>
    </row>
    <row r="142" spans="1:10" x14ac:dyDescent="0.25">
      <c r="A142" s="1" t="s">
        <v>28</v>
      </c>
      <c r="B142">
        <v>1999</v>
      </c>
      <c r="C142" s="1" t="s">
        <v>11</v>
      </c>
      <c r="D142" s="1" t="s">
        <v>13</v>
      </c>
      <c r="E142">
        <v>33000.21</v>
      </c>
      <c r="F142">
        <v>2000</v>
      </c>
      <c r="G142" s="1" t="s">
        <v>13</v>
      </c>
      <c r="H142" s="1" t="s">
        <v>13</v>
      </c>
      <c r="I142">
        <v>37730.11</v>
      </c>
      <c r="J142">
        <v>4729.8999999999996</v>
      </c>
    </row>
    <row r="143" spans="1:10" x14ac:dyDescent="0.25">
      <c r="A143" s="1" t="s">
        <v>25</v>
      </c>
      <c r="B143">
        <v>1999</v>
      </c>
      <c r="C143" s="1" t="s">
        <v>11</v>
      </c>
      <c r="D143" s="1" t="s">
        <v>13</v>
      </c>
      <c r="E143">
        <v>40657.519999999997</v>
      </c>
      <c r="F143">
        <v>2000</v>
      </c>
      <c r="G143" s="1" t="s">
        <v>11</v>
      </c>
      <c r="H143" s="1" t="s">
        <v>13</v>
      </c>
      <c r="I143">
        <v>40345.71</v>
      </c>
      <c r="J143">
        <v>-311.81</v>
      </c>
    </row>
    <row r="144" spans="1:10" x14ac:dyDescent="0.25">
      <c r="A144" s="1" t="s">
        <v>16</v>
      </c>
      <c r="B144">
        <v>1999</v>
      </c>
      <c r="C144" s="1" t="s">
        <v>13</v>
      </c>
      <c r="D144" s="1" t="s">
        <v>11</v>
      </c>
      <c r="E144">
        <v>33654.42</v>
      </c>
      <c r="F144">
        <v>2000</v>
      </c>
      <c r="G144" s="1" t="s">
        <v>13</v>
      </c>
      <c r="H144" s="1" t="s">
        <v>11</v>
      </c>
      <c r="I144">
        <v>34821.360000000001</v>
      </c>
      <c r="J144">
        <v>1166.94</v>
      </c>
    </row>
    <row r="145" spans="1:10" x14ac:dyDescent="0.25">
      <c r="A145" s="1" t="s">
        <v>39</v>
      </c>
      <c r="B145">
        <v>1999</v>
      </c>
      <c r="C145" s="1" t="s">
        <v>11</v>
      </c>
      <c r="D145" s="1" t="s">
        <v>13</v>
      </c>
      <c r="E145">
        <v>34253.1</v>
      </c>
      <c r="F145">
        <v>2000</v>
      </c>
      <c r="G145" s="1" t="s">
        <v>13</v>
      </c>
      <c r="H145" s="1" t="s">
        <v>13</v>
      </c>
      <c r="I145">
        <v>34568.83</v>
      </c>
      <c r="J145">
        <v>315.73</v>
      </c>
    </row>
    <row r="146" spans="1:10" x14ac:dyDescent="0.25">
      <c r="A146" s="1" t="s">
        <v>10</v>
      </c>
      <c r="B146">
        <v>2000</v>
      </c>
      <c r="C146" s="1" t="s">
        <v>11</v>
      </c>
      <c r="D146" s="1" t="s">
        <v>13</v>
      </c>
      <c r="E146">
        <v>39929.68</v>
      </c>
      <c r="F146">
        <v>2001</v>
      </c>
      <c r="G146" s="1" t="s">
        <v>11</v>
      </c>
      <c r="H146" s="1" t="s">
        <v>13</v>
      </c>
      <c r="I146">
        <v>34857.949999999997</v>
      </c>
      <c r="J146">
        <v>-5071.7299999999996</v>
      </c>
    </row>
    <row r="147" spans="1:10" x14ac:dyDescent="0.25">
      <c r="A147" s="1" t="s">
        <v>32</v>
      </c>
      <c r="B147">
        <v>2000</v>
      </c>
      <c r="C147" s="1" t="s">
        <v>11</v>
      </c>
      <c r="D147" s="1" t="s">
        <v>13</v>
      </c>
      <c r="E147">
        <v>24338.84</v>
      </c>
      <c r="F147">
        <v>2001</v>
      </c>
      <c r="G147" s="1" t="s">
        <v>13</v>
      </c>
      <c r="H147" s="1" t="s">
        <v>13</v>
      </c>
      <c r="I147">
        <v>21804.59</v>
      </c>
      <c r="J147">
        <v>-2534.25</v>
      </c>
    </row>
    <row r="148" spans="1:10" x14ac:dyDescent="0.25">
      <c r="A148" s="1" t="s">
        <v>25</v>
      </c>
      <c r="B148">
        <v>2000</v>
      </c>
      <c r="C148" s="1" t="s">
        <v>11</v>
      </c>
      <c r="D148" s="1" t="s">
        <v>13</v>
      </c>
      <c r="E148">
        <v>40345.71</v>
      </c>
      <c r="F148">
        <v>2001</v>
      </c>
      <c r="G148" s="1" t="s">
        <v>11</v>
      </c>
      <c r="H148" s="1" t="s">
        <v>13</v>
      </c>
      <c r="I148">
        <v>40810.589999999997</v>
      </c>
      <c r="J148">
        <v>464.88</v>
      </c>
    </row>
    <row r="149" spans="1:10" x14ac:dyDescent="0.25">
      <c r="A149" s="1" t="s">
        <v>16</v>
      </c>
      <c r="B149">
        <v>2000</v>
      </c>
      <c r="C149" s="1" t="s">
        <v>13</v>
      </c>
      <c r="D149" s="1" t="s">
        <v>11</v>
      </c>
      <c r="E149">
        <v>34821.360000000001</v>
      </c>
      <c r="F149">
        <v>2001</v>
      </c>
      <c r="G149" s="1" t="s">
        <v>13</v>
      </c>
      <c r="H149" s="1" t="s">
        <v>13</v>
      </c>
      <c r="I149">
        <v>32818.89</v>
      </c>
      <c r="J149">
        <v>-2002.47</v>
      </c>
    </row>
    <row r="150" spans="1:10" x14ac:dyDescent="0.25">
      <c r="A150" s="1" t="s">
        <v>19</v>
      </c>
      <c r="B150">
        <v>2000</v>
      </c>
      <c r="C150" s="1" t="s">
        <v>11</v>
      </c>
      <c r="D150" s="1" t="s">
        <v>13</v>
      </c>
      <c r="E150">
        <v>21344.26</v>
      </c>
      <c r="F150">
        <v>2001</v>
      </c>
      <c r="G150" s="1" t="s">
        <v>13</v>
      </c>
      <c r="H150" s="1" t="s">
        <v>11</v>
      </c>
      <c r="I150">
        <v>26339.22</v>
      </c>
      <c r="J150">
        <v>4994.96</v>
      </c>
    </row>
    <row r="151" spans="1:10" x14ac:dyDescent="0.25">
      <c r="A151" s="1" t="s">
        <v>38</v>
      </c>
      <c r="B151">
        <v>2000</v>
      </c>
      <c r="C151" s="1" t="s">
        <v>13</v>
      </c>
      <c r="D151" s="1" t="s">
        <v>11</v>
      </c>
      <c r="E151">
        <v>38868.11</v>
      </c>
      <c r="F151">
        <v>2001</v>
      </c>
      <c r="G151" s="1" t="s">
        <v>11</v>
      </c>
      <c r="H151" s="1" t="s">
        <v>13</v>
      </c>
      <c r="I151">
        <v>43362.05</v>
      </c>
      <c r="J151">
        <v>4493.9399999999996</v>
      </c>
    </row>
    <row r="152" spans="1:10" x14ac:dyDescent="0.25">
      <c r="A152" s="1" t="s">
        <v>20</v>
      </c>
      <c r="B152">
        <v>2000</v>
      </c>
      <c r="C152" s="1" t="s">
        <v>11</v>
      </c>
      <c r="D152" s="1" t="s">
        <v>13</v>
      </c>
      <c r="E152">
        <v>40930</v>
      </c>
      <c r="F152">
        <v>2001</v>
      </c>
      <c r="G152" s="1" t="s">
        <v>13</v>
      </c>
      <c r="H152" s="1" t="s">
        <v>13</v>
      </c>
      <c r="I152">
        <v>40876.54</v>
      </c>
      <c r="J152">
        <v>-53.46</v>
      </c>
    </row>
    <row r="153" spans="1:10" x14ac:dyDescent="0.25">
      <c r="A153" s="1" t="s">
        <v>31</v>
      </c>
      <c r="B153">
        <v>2000</v>
      </c>
      <c r="C153" s="1" t="s">
        <v>11</v>
      </c>
      <c r="D153" s="1" t="s">
        <v>13</v>
      </c>
      <c r="E153">
        <v>41191.269999999997</v>
      </c>
      <c r="F153">
        <v>2001</v>
      </c>
      <c r="G153" s="1" t="s">
        <v>13</v>
      </c>
      <c r="H153" s="1" t="s">
        <v>11</v>
      </c>
      <c r="I153">
        <v>37921.68</v>
      </c>
      <c r="J153">
        <v>-3269.59</v>
      </c>
    </row>
    <row r="154" spans="1:10" x14ac:dyDescent="0.25">
      <c r="A154" s="1" t="s">
        <v>41</v>
      </c>
      <c r="B154">
        <v>2001</v>
      </c>
      <c r="C154" s="1" t="s">
        <v>11</v>
      </c>
      <c r="D154" s="1" t="s">
        <v>13</v>
      </c>
      <c r="E154">
        <v>33775.57</v>
      </c>
      <c r="F154">
        <v>2002</v>
      </c>
      <c r="G154" s="1" t="s">
        <v>11</v>
      </c>
      <c r="H154" s="1" t="s">
        <v>13</v>
      </c>
      <c r="I154">
        <v>39493.519999999997</v>
      </c>
      <c r="J154">
        <v>5717.95</v>
      </c>
    </row>
    <row r="155" spans="1:10" x14ac:dyDescent="0.25">
      <c r="A155" s="1" t="s">
        <v>10</v>
      </c>
      <c r="B155">
        <v>2001</v>
      </c>
      <c r="C155" s="1" t="s">
        <v>11</v>
      </c>
      <c r="D155" s="1" t="s">
        <v>13</v>
      </c>
      <c r="E155">
        <v>34857.949999999997</v>
      </c>
      <c r="F155">
        <v>2002</v>
      </c>
      <c r="G155" s="1" t="s">
        <v>11</v>
      </c>
      <c r="H155" s="1" t="s">
        <v>13</v>
      </c>
      <c r="I155">
        <v>32141.78</v>
      </c>
      <c r="J155">
        <v>-2716.17</v>
      </c>
    </row>
    <row r="156" spans="1:10" x14ac:dyDescent="0.25">
      <c r="A156" s="1" t="s">
        <v>36</v>
      </c>
      <c r="B156">
        <v>2001</v>
      </c>
      <c r="C156" s="1" t="s">
        <v>11</v>
      </c>
      <c r="D156" s="1" t="s">
        <v>13</v>
      </c>
      <c r="E156">
        <v>39781.54</v>
      </c>
      <c r="F156">
        <v>2002</v>
      </c>
      <c r="G156" s="1" t="s">
        <v>13</v>
      </c>
      <c r="H156" s="1" t="s">
        <v>13</v>
      </c>
      <c r="I156">
        <v>32369.63</v>
      </c>
      <c r="J156">
        <v>-7411.91</v>
      </c>
    </row>
    <row r="157" spans="1:10" x14ac:dyDescent="0.25">
      <c r="A157" s="1" t="s">
        <v>28</v>
      </c>
      <c r="B157">
        <v>2001</v>
      </c>
      <c r="C157" s="1" t="s">
        <v>11</v>
      </c>
      <c r="D157" s="1" t="s">
        <v>13</v>
      </c>
      <c r="E157">
        <v>35879.96</v>
      </c>
      <c r="F157">
        <v>2002</v>
      </c>
      <c r="G157" s="1" t="s">
        <v>13</v>
      </c>
      <c r="H157" s="1" t="s">
        <v>13</v>
      </c>
      <c r="I157">
        <v>31016.75</v>
      </c>
      <c r="J157">
        <v>-4863.21</v>
      </c>
    </row>
    <row r="158" spans="1:10" x14ac:dyDescent="0.25">
      <c r="A158" s="1" t="s">
        <v>25</v>
      </c>
      <c r="B158">
        <v>2001</v>
      </c>
      <c r="C158" s="1" t="s">
        <v>11</v>
      </c>
      <c r="D158" s="1" t="s">
        <v>13</v>
      </c>
      <c r="E158">
        <v>40810.589999999997</v>
      </c>
      <c r="F158">
        <v>2002</v>
      </c>
      <c r="G158" s="1" t="s">
        <v>11</v>
      </c>
      <c r="H158" s="1" t="s">
        <v>13</v>
      </c>
      <c r="I158">
        <v>43322.59</v>
      </c>
      <c r="J158">
        <v>2512</v>
      </c>
    </row>
    <row r="159" spans="1:10" x14ac:dyDescent="0.25">
      <c r="A159" s="1" t="s">
        <v>19</v>
      </c>
      <c r="B159">
        <v>2001</v>
      </c>
      <c r="C159" s="1" t="s">
        <v>13</v>
      </c>
      <c r="D159" s="1" t="s">
        <v>11</v>
      </c>
      <c r="E159">
        <v>26339.22</v>
      </c>
      <c r="F159">
        <v>2002</v>
      </c>
      <c r="G159" s="1" t="s">
        <v>11</v>
      </c>
      <c r="H159" s="1" t="s">
        <v>13</v>
      </c>
      <c r="I159">
        <v>26787.85</v>
      </c>
      <c r="J159">
        <v>448.63</v>
      </c>
    </row>
    <row r="160" spans="1:10" x14ac:dyDescent="0.25">
      <c r="A160" s="1" t="s">
        <v>38</v>
      </c>
      <c r="B160">
        <v>2001</v>
      </c>
      <c r="C160" s="1" t="s">
        <v>11</v>
      </c>
      <c r="D160" s="1" t="s">
        <v>13</v>
      </c>
      <c r="E160">
        <v>43362.05</v>
      </c>
      <c r="F160">
        <v>2002</v>
      </c>
      <c r="G160" s="1" t="s">
        <v>13</v>
      </c>
      <c r="H160" s="1" t="s">
        <v>13</v>
      </c>
      <c r="I160">
        <v>43702.94</v>
      </c>
      <c r="J160">
        <v>340.89</v>
      </c>
    </row>
    <row r="161" spans="1:10" x14ac:dyDescent="0.25">
      <c r="A161" s="1" t="s">
        <v>31</v>
      </c>
      <c r="B161">
        <v>2001</v>
      </c>
      <c r="C161" s="1" t="s">
        <v>13</v>
      </c>
      <c r="D161" s="1" t="s">
        <v>11</v>
      </c>
      <c r="E161">
        <v>37921.68</v>
      </c>
      <c r="F161">
        <v>2002</v>
      </c>
      <c r="G161" s="1" t="s">
        <v>11</v>
      </c>
      <c r="H161" s="1" t="s">
        <v>13</v>
      </c>
      <c r="I161">
        <v>37182.17</v>
      </c>
      <c r="J161">
        <v>-739.51</v>
      </c>
    </row>
    <row r="162" spans="1:10" x14ac:dyDescent="0.25">
      <c r="A162" s="1" t="s">
        <v>42</v>
      </c>
      <c r="B162">
        <v>2002</v>
      </c>
      <c r="C162" s="1" t="s">
        <v>13</v>
      </c>
      <c r="D162" s="1" t="s">
        <v>11</v>
      </c>
      <c r="E162">
        <v>28462.560000000001</v>
      </c>
      <c r="F162">
        <v>2003</v>
      </c>
      <c r="G162" s="1" t="s">
        <v>13</v>
      </c>
      <c r="H162" s="1" t="s">
        <v>13</v>
      </c>
      <c r="I162">
        <v>37330.410000000003</v>
      </c>
      <c r="J162">
        <v>8867.85</v>
      </c>
    </row>
    <row r="163" spans="1:10" x14ac:dyDescent="0.25">
      <c r="A163" s="1" t="s">
        <v>41</v>
      </c>
      <c r="B163">
        <v>2002</v>
      </c>
      <c r="C163" s="1" t="s">
        <v>11</v>
      </c>
      <c r="D163" s="1" t="s">
        <v>13</v>
      </c>
      <c r="E163">
        <v>39493.519999999997</v>
      </c>
      <c r="F163">
        <v>2003</v>
      </c>
      <c r="G163" s="1" t="s">
        <v>13</v>
      </c>
      <c r="H163" s="1" t="s">
        <v>13</v>
      </c>
      <c r="I163">
        <v>34636.32</v>
      </c>
      <c r="J163">
        <v>-4857.2</v>
      </c>
    </row>
    <row r="164" spans="1:10" x14ac:dyDescent="0.25">
      <c r="A164" s="1" t="s">
        <v>10</v>
      </c>
      <c r="B164">
        <v>2002</v>
      </c>
      <c r="C164" s="1" t="s">
        <v>11</v>
      </c>
      <c r="D164" s="1" t="s">
        <v>13</v>
      </c>
      <c r="E164">
        <v>32141.78</v>
      </c>
      <c r="F164">
        <v>2003</v>
      </c>
      <c r="G164" s="1" t="s">
        <v>11</v>
      </c>
      <c r="H164" s="1" t="s">
        <v>13</v>
      </c>
      <c r="I164">
        <v>29643.01</v>
      </c>
      <c r="J164">
        <v>-2498.77</v>
      </c>
    </row>
    <row r="165" spans="1:10" x14ac:dyDescent="0.25">
      <c r="A165" s="1" t="s">
        <v>15</v>
      </c>
      <c r="B165">
        <v>2002</v>
      </c>
      <c r="C165" s="1" t="s">
        <v>11</v>
      </c>
      <c r="D165" s="1" t="s">
        <v>13</v>
      </c>
      <c r="E165">
        <v>23757.46</v>
      </c>
      <c r="F165">
        <v>2003</v>
      </c>
      <c r="G165" s="1" t="s">
        <v>11</v>
      </c>
      <c r="H165" s="1" t="s">
        <v>13</v>
      </c>
      <c r="I165">
        <v>24024.83</v>
      </c>
      <c r="J165">
        <v>267.37</v>
      </c>
    </row>
    <row r="166" spans="1:10" x14ac:dyDescent="0.25">
      <c r="A166" s="1" t="s">
        <v>25</v>
      </c>
      <c r="B166">
        <v>2002</v>
      </c>
      <c r="C166" s="1" t="s">
        <v>11</v>
      </c>
      <c r="D166" s="1" t="s">
        <v>13</v>
      </c>
      <c r="E166">
        <v>43322.59</v>
      </c>
      <c r="F166">
        <v>2003</v>
      </c>
      <c r="G166" s="1" t="s">
        <v>11</v>
      </c>
      <c r="H166" s="1" t="s">
        <v>13</v>
      </c>
      <c r="I166">
        <v>42202.44</v>
      </c>
      <c r="J166">
        <v>-1120.1500000000001</v>
      </c>
    </row>
    <row r="167" spans="1:10" x14ac:dyDescent="0.25">
      <c r="A167" s="1" t="s">
        <v>19</v>
      </c>
      <c r="B167">
        <v>2002</v>
      </c>
      <c r="C167" s="1" t="s">
        <v>11</v>
      </c>
      <c r="D167" s="1" t="s">
        <v>13</v>
      </c>
      <c r="E167">
        <v>26787.85</v>
      </c>
      <c r="F167">
        <v>2003</v>
      </c>
      <c r="G167" s="1" t="s">
        <v>11</v>
      </c>
      <c r="H167" s="1" t="s">
        <v>13</v>
      </c>
      <c r="I167">
        <v>27365.38</v>
      </c>
      <c r="J167">
        <v>577.53</v>
      </c>
    </row>
    <row r="168" spans="1:10" x14ac:dyDescent="0.25">
      <c r="A168" s="1" t="s">
        <v>20</v>
      </c>
      <c r="B168">
        <v>2002</v>
      </c>
      <c r="C168" s="1" t="s">
        <v>13</v>
      </c>
      <c r="D168" s="1" t="s">
        <v>11</v>
      </c>
      <c r="E168">
        <v>40163</v>
      </c>
      <c r="F168">
        <v>2003</v>
      </c>
      <c r="G168" s="1" t="s">
        <v>11</v>
      </c>
      <c r="H168" s="1" t="s">
        <v>13</v>
      </c>
      <c r="I168">
        <v>40307.379999999997</v>
      </c>
      <c r="J168">
        <v>144.38</v>
      </c>
    </row>
    <row r="169" spans="1:10" x14ac:dyDescent="0.25">
      <c r="A169" s="1" t="s">
        <v>31</v>
      </c>
      <c r="B169">
        <v>2002</v>
      </c>
      <c r="C169" s="1" t="s">
        <v>11</v>
      </c>
      <c r="D169" s="1" t="s">
        <v>13</v>
      </c>
      <c r="E169">
        <v>37182.17</v>
      </c>
      <c r="F169">
        <v>2003</v>
      </c>
      <c r="G169" s="1" t="s">
        <v>13</v>
      </c>
      <c r="H169" s="1" t="s">
        <v>13</v>
      </c>
      <c r="I169">
        <v>35930.69</v>
      </c>
      <c r="J169">
        <v>-1251.48</v>
      </c>
    </row>
    <row r="170" spans="1:10" x14ac:dyDescent="0.25">
      <c r="A170" s="1" t="s">
        <v>10</v>
      </c>
      <c r="B170">
        <v>2003</v>
      </c>
      <c r="C170" s="1" t="s">
        <v>11</v>
      </c>
      <c r="D170" s="1" t="s">
        <v>13</v>
      </c>
      <c r="E170">
        <v>29643.01</v>
      </c>
      <c r="F170">
        <v>2004</v>
      </c>
      <c r="G170" s="1" t="s">
        <v>11</v>
      </c>
      <c r="H170" s="1" t="s">
        <v>13</v>
      </c>
      <c r="I170">
        <v>28673.64</v>
      </c>
      <c r="J170">
        <v>-969.37</v>
      </c>
    </row>
    <row r="171" spans="1:10" x14ac:dyDescent="0.25">
      <c r="A171" s="1" t="s">
        <v>23</v>
      </c>
      <c r="B171">
        <v>2003</v>
      </c>
      <c r="C171" s="1" t="s">
        <v>13</v>
      </c>
      <c r="D171" s="1" t="s">
        <v>11</v>
      </c>
      <c r="E171">
        <v>33631.67</v>
      </c>
      <c r="F171">
        <v>2004</v>
      </c>
      <c r="G171" s="1" t="s">
        <v>13</v>
      </c>
      <c r="H171" s="1" t="s">
        <v>11</v>
      </c>
      <c r="I171">
        <v>35028.44</v>
      </c>
      <c r="J171">
        <v>1396.77</v>
      </c>
    </row>
    <row r="172" spans="1:10" x14ac:dyDescent="0.25">
      <c r="A172" s="1" t="s">
        <v>33</v>
      </c>
      <c r="B172">
        <v>2003</v>
      </c>
      <c r="C172" s="1" t="s">
        <v>11</v>
      </c>
      <c r="D172" s="1" t="s">
        <v>13</v>
      </c>
      <c r="E172">
        <v>36575.68</v>
      </c>
      <c r="F172">
        <v>2004</v>
      </c>
      <c r="G172" s="1" t="s">
        <v>13</v>
      </c>
      <c r="H172" s="1" t="s">
        <v>13</v>
      </c>
      <c r="I172">
        <v>38660.410000000003</v>
      </c>
      <c r="J172">
        <v>2084.73</v>
      </c>
    </row>
    <row r="173" spans="1:10" x14ac:dyDescent="0.25">
      <c r="A173" s="1" t="s">
        <v>40</v>
      </c>
      <c r="B173">
        <v>2003</v>
      </c>
      <c r="C173" s="1" t="s">
        <v>13</v>
      </c>
      <c r="D173" s="1" t="s">
        <v>11</v>
      </c>
      <c r="E173">
        <v>16089.06</v>
      </c>
      <c r="F173">
        <v>2004</v>
      </c>
      <c r="G173" s="1" t="s">
        <v>13</v>
      </c>
      <c r="H173" s="1" t="s">
        <v>13</v>
      </c>
      <c r="I173">
        <v>21538.81</v>
      </c>
      <c r="J173">
        <v>5449.75</v>
      </c>
    </row>
    <row r="174" spans="1:10" x14ac:dyDescent="0.25">
      <c r="A174" s="1" t="s">
        <v>15</v>
      </c>
      <c r="B174">
        <v>2003</v>
      </c>
      <c r="C174" s="1" t="s">
        <v>11</v>
      </c>
      <c r="D174" s="1" t="s">
        <v>13</v>
      </c>
      <c r="E174">
        <v>24024.83</v>
      </c>
      <c r="F174">
        <v>2004</v>
      </c>
      <c r="G174" s="1" t="s">
        <v>11</v>
      </c>
      <c r="H174" s="1" t="s">
        <v>13</v>
      </c>
      <c r="I174">
        <v>23598.639999999999</v>
      </c>
      <c r="J174">
        <v>-426.19</v>
      </c>
    </row>
    <row r="175" spans="1:10" x14ac:dyDescent="0.25">
      <c r="A175" s="1" t="s">
        <v>25</v>
      </c>
      <c r="B175">
        <v>2003</v>
      </c>
      <c r="C175" s="1" t="s">
        <v>11</v>
      </c>
      <c r="D175" s="1" t="s">
        <v>13</v>
      </c>
      <c r="E175">
        <v>42202.44</v>
      </c>
      <c r="F175">
        <v>2004</v>
      </c>
      <c r="G175" s="1" t="s">
        <v>11</v>
      </c>
      <c r="H175" s="1" t="s">
        <v>13</v>
      </c>
      <c r="I175">
        <v>46608.54</v>
      </c>
      <c r="J175">
        <v>4406.1000000000004</v>
      </c>
    </row>
    <row r="176" spans="1:10" x14ac:dyDescent="0.25">
      <c r="A176" s="1" t="s">
        <v>19</v>
      </c>
      <c r="B176">
        <v>2003</v>
      </c>
      <c r="C176" s="1" t="s">
        <v>11</v>
      </c>
      <c r="D176" s="1" t="s">
        <v>13</v>
      </c>
      <c r="E176">
        <v>27365.38</v>
      </c>
      <c r="F176">
        <v>2004</v>
      </c>
      <c r="G176" s="1" t="s">
        <v>13</v>
      </c>
      <c r="H176" s="1" t="s">
        <v>13</v>
      </c>
      <c r="I176">
        <v>27179.21</v>
      </c>
      <c r="J176">
        <v>-186.17</v>
      </c>
    </row>
    <row r="177" spans="1:10" x14ac:dyDescent="0.25">
      <c r="A177" s="1" t="s">
        <v>20</v>
      </c>
      <c r="B177">
        <v>2003</v>
      </c>
      <c r="C177" s="1" t="s">
        <v>11</v>
      </c>
      <c r="D177" s="1" t="s">
        <v>13</v>
      </c>
      <c r="E177">
        <v>40307.379999999997</v>
      </c>
      <c r="F177">
        <v>2004</v>
      </c>
      <c r="G177" s="1" t="s">
        <v>13</v>
      </c>
      <c r="H177" s="1" t="s">
        <v>13</v>
      </c>
      <c r="I177">
        <v>39717.730000000003</v>
      </c>
      <c r="J177">
        <v>-589.65</v>
      </c>
    </row>
    <row r="178" spans="1:10" x14ac:dyDescent="0.25">
      <c r="A178" s="1" t="s">
        <v>10</v>
      </c>
      <c r="B178">
        <v>2004</v>
      </c>
      <c r="C178" s="1" t="s">
        <v>11</v>
      </c>
      <c r="D178" s="1" t="s">
        <v>13</v>
      </c>
      <c r="E178">
        <v>28673.64</v>
      </c>
      <c r="F178">
        <v>2005</v>
      </c>
      <c r="G178" s="1" t="s">
        <v>11</v>
      </c>
      <c r="H178" s="1" t="s">
        <v>13</v>
      </c>
      <c r="I178">
        <v>31130.05</v>
      </c>
      <c r="J178">
        <v>2456.41</v>
      </c>
    </row>
    <row r="179" spans="1:10" x14ac:dyDescent="0.25">
      <c r="A179" s="1" t="s">
        <v>23</v>
      </c>
      <c r="B179">
        <v>2004</v>
      </c>
      <c r="C179" s="1" t="s">
        <v>13</v>
      </c>
      <c r="D179" s="1" t="s">
        <v>11</v>
      </c>
      <c r="E179">
        <v>35028.44</v>
      </c>
      <c r="F179">
        <v>2005</v>
      </c>
      <c r="G179" s="1" t="s">
        <v>13</v>
      </c>
      <c r="H179" s="1" t="s">
        <v>11</v>
      </c>
      <c r="I179">
        <v>35158</v>
      </c>
      <c r="J179">
        <v>129.56</v>
      </c>
    </row>
    <row r="180" spans="1:10" x14ac:dyDescent="0.25">
      <c r="A180" s="1" t="s">
        <v>28</v>
      </c>
      <c r="B180">
        <v>2004</v>
      </c>
      <c r="C180" s="1" t="s">
        <v>13</v>
      </c>
      <c r="D180" s="1" t="s">
        <v>11</v>
      </c>
      <c r="E180">
        <v>38121.879999999997</v>
      </c>
      <c r="F180">
        <v>2005</v>
      </c>
      <c r="G180" s="1" t="s">
        <v>13</v>
      </c>
      <c r="H180" s="1" t="s">
        <v>11</v>
      </c>
      <c r="I180">
        <v>34626.67</v>
      </c>
      <c r="J180">
        <v>-3495.21</v>
      </c>
    </row>
    <row r="181" spans="1:10" x14ac:dyDescent="0.25">
      <c r="A181" s="1" t="s">
        <v>22</v>
      </c>
      <c r="B181">
        <v>2004</v>
      </c>
      <c r="C181" s="1" t="s">
        <v>11</v>
      </c>
      <c r="D181" s="1" t="s">
        <v>13</v>
      </c>
      <c r="E181">
        <v>43065.22</v>
      </c>
      <c r="F181">
        <v>2005</v>
      </c>
      <c r="G181" s="1" t="s">
        <v>13</v>
      </c>
      <c r="H181" s="1" t="s">
        <v>13</v>
      </c>
      <c r="I181">
        <v>44489.88</v>
      </c>
      <c r="J181">
        <v>1424.66</v>
      </c>
    </row>
    <row r="182" spans="1:10" x14ac:dyDescent="0.25">
      <c r="A182" s="1" t="s">
        <v>15</v>
      </c>
      <c r="B182">
        <v>2004</v>
      </c>
      <c r="C182" s="1" t="s">
        <v>11</v>
      </c>
      <c r="D182" s="1" t="s">
        <v>13</v>
      </c>
      <c r="E182">
        <v>23598.639999999999</v>
      </c>
      <c r="F182">
        <v>2005</v>
      </c>
      <c r="G182" s="1" t="s">
        <v>13</v>
      </c>
      <c r="H182" s="1" t="s">
        <v>13</v>
      </c>
      <c r="I182">
        <v>25114.11</v>
      </c>
      <c r="J182">
        <v>1515.47</v>
      </c>
    </row>
    <row r="183" spans="1:10" x14ac:dyDescent="0.25">
      <c r="A183" s="1" t="s">
        <v>25</v>
      </c>
      <c r="B183">
        <v>2004</v>
      </c>
      <c r="C183" s="1" t="s">
        <v>11</v>
      </c>
      <c r="D183" s="1" t="s">
        <v>13</v>
      </c>
      <c r="E183">
        <v>46608.54</v>
      </c>
      <c r="F183">
        <v>2005</v>
      </c>
      <c r="G183" s="1" t="s">
        <v>11</v>
      </c>
      <c r="H183" s="1" t="s">
        <v>13</v>
      </c>
      <c r="I183">
        <v>50499.26</v>
      </c>
      <c r="J183">
        <v>3890.72</v>
      </c>
    </row>
    <row r="184" spans="1:10" x14ac:dyDescent="0.25">
      <c r="A184" s="1" t="s">
        <v>31</v>
      </c>
      <c r="B184">
        <v>2004</v>
      </c>
      <c r="C184" s="1" t="s">
        <v>11</v>
      </c>
      <c r="D184" s="1" t="s">
        <v>13</v>
      </c>
      <c r="E184">
        <v>37634.9</v>
      </c>
      <c r="F184">
        <v>2005</v>
      </c>
      <c r="G184" s="1" t="s">
        <v>11</v>
      </c>
      <c r="H184" s="1" t="s">
        <v>13</v>
      </c>
      <c r="I184">
        <v>43731.74</v>
      </c>
      <c r="J184">
        <v>6096.84</v>
      </c>
    </row>
    <row r="185" spans="1:10" x14ac:dyDescent="0.25">
      <c r="A185" s="1" t="s">
        <v>10</v>
      </c>
      <c r="B185">
        <v>2005</v>
      </c>
      <c r="C185" s="1" t="s">
        <v>11</v>
      </c>
      <c r="D185" s="1" t="s">
        <v>13</v>
      </c>
      <c r="E185">
        <v>31130.05</v>
      </c>
      <c r="F185">
        <v>2006</v>
      </c>
      <c r="G185" s="1" t="s">
        <v>13</v>
      </c>
      <c r="H185" s="1" t="s">
        <v>13</v>
      </c>
      <c r="I185">
        <v>31475.599999999999</v>
      </c>
      <c r="J185">
        <v>345.55</v>
      </c>
    </row>
    <row r="186" spans="1:10" x14ac:dyDescent="0.25">
      <c r="A186" s="1" t="s">
        <v>23</v>
      </c>
      <c r="B186">
        <v>2005</v>
      </c>
      <c r="C186" s="1" t="s">
        <v>13</v>
      </c>
      <c r="D186" s="1" t="s">
        <v>11</v>
      </c>
      <c r="E186">
        <v>35158</v>
      </c>
      <c r="F186">
        <v>2006</v>
      </c>
      <c r="G186" s="1" t="s">
        <v>13</v>
      </c>
      <c r="H186" s="1" t="s">
        <v>13</v>
      </c>
      <c r="I186">
        <v>36182.32</v>
      </c>
      <c r="J186">
        <v>1024.32</v>
      </c>
    </row>
    <row r="187" spans="1:10" x14ac:dyDescent="0.25">
      <c r="A187" s="1" t="s">
        <v>32</v>
      </c>
      <c r="B187">
        <v>2005</v>
      </c>
      <c r="C187" s="1" t="s">
        <v>11</v>
      </c>
      <c r="D187" s="1" t="s">
        <v>13</v>
      </c>
      <c r="E187">
        <v>28923.88</v>
      </c>
      <c r="F187">
        <v>2006</v>
      </c>
      <c r="G187" s="1" t="s">
        <v>13</v>
      </c>
      <c r="H187" s="1" t="s">
        <v>13</v>
      </c>
      <c r="I187">
        <v>36511.279999999999</v>
      </c>
      <c r="J187">
        <v>7587.4</v>
      </c>
    </row>
    <row r="188" spans="1:10" x14ac:dyDescent="0.25">
      <c r="A188" s="1" t="s">
        <v>28</v>
      </c>
      <c r="B188">
        <v>2005</v>
      </c>
      <c r="C188" s="1" t="s">
        <v>13</v>
      </c>
      <c r="D188" s="1" t="s">
        <v>11</v>
      </c>
      <c r="E188">
        <v>34626.67</v>
      </c>
      <c r="F188">
        <v>2006</v>
      </c>
      <c r="G188" s="1" t="s">
        <v>13</v>
      </c>
      <c r="H188" s="1" t="s">
        <v>13</v>
      </c>
      <c r="I188">
        <v>37318.06</v>
      </c>
      <c r="J188">
        <v>2691.39</v>
      </c>
    </row>
    <row r="189" spans="1:10" x14ac:dyDescent="0.25">
      <c r="A189" s="1" t="s">
        <v>43</v>
      </c>
      <c r="B189">
        <v>2005</v>
      </c>
      <c r="C189" s="1" t="s">
        <v>11</v>
      </c>
      <c r="D189" s="1" t="s">
        <v>13</v>
      </c>
      <c r="E189">
        <v>42032.54</v>
      </c>
      <c r="F189">
        <v>2006</v>
      </c>
      <c r="G189" s="1" t="s">
        <v>13</v>
      </c>
      <c r="H189" s="1" t="s">
        <v>13</v>
      </c>
      <c r="I189">
        <v>42059.14</v>
      </c>
      <c r="J189">
        <v>26.6</v>
      </c>
    </row>
    <row r="190" spans="1:10" x14ac:dyDescent="0.25">
      <c r="A190" s="1" t="s">
        <v>25</v>
      </c>
      <c r="B190">
        <v>2005</v>
      </c>
      <c r="C190" s="1" t="s">
        <v>11</v>
      </c>
      <c r="D190" s="1" t="s">
        <v>13</v>
      </c>
      <c r="E190">
        <v>50499.26</v>
      </c>
      <c r="F190">
        <v>2006</v>
      </c>
      <c r="G190" s="1" t="s">
        <v>11</v>
      </c>
      <c r="H190" s="1" t="s">
        <v>13</v>
      </c>
      <c r="I190">
        <v>52444.2</v>
      </c>
      <c r="J190">
        <v>1944.94</v>
      </c>
    </row>
    <row r="191" spans="1:10" x14ac:dyDescent="0.25">
      <c r="A191" s="1" t="s">
        <v>34</v>
      </c>
      <c r="B191">
        <v>2005</v>
      </c>
      <c r="C191" s="1" t="s">
        <v>11</v>
      </c>
      <c r="D191" s="1" t="s">
        <v>13</v>
      </c>
      <c r="E191">
        <v>35429.47</v>
      </c>
      <c r="F191">
        <v>2006</v>
      </c>
      <c r="G191" s="1" t="s">
        <v>11</v>
      </c>
      <c r="H191" s="1" t="s">
        <v>13</v>
      </c>
      <c r="I191">
        <v>32836.199999999997</v>
      </c>
      <c r="J191">
        <v>-2593.27</v>
      </c>
    </row>
    <row r="192" spans="1:10" x14ac:dyDescent="0.25">
      <c r="A192" s="1" t="s">
        <v>31</v>
      </c>
      <c r="B192">
        <v>2005</v>
      </c>
      <c r="C192" s="1" t="s">
        <v>11</v>
      </c>
      <c r="D192" s="1" t="s">
        <v>13</v>
      </c>
      <c r="E192">
        <v>43731.74</v>
      </c>
      <c r="F192">
        <v>2006</v>
      </c>
      <c r="G192" s="1" t="s">
        <v>11</v>
      </c>
      <c r="H192" s="1" t="s">
        <v>13</v>
      </c>
      <c r="I192">
        <v>42588.800000000003</v>
      </c>
      <c r="J192">
        <v>-1142.94</v>
      </c>
    </row>
    <row r="193" spans="1:10" x14ac:dyDescent="0.25">
      <c r="A193" s="1" t="s">
        <v>21</v>
      </c>
      <c r="B193">
        <v>2006</v>
      </c>
      <c r="C193" s="1" t="s">
        <v>13</v>
      </c>
      <c r="D193" s="1" t="s">
        <v>11</v>
      </c>
      <c r="E193">
        <v>32048.6</v>
      </c>
      <c r="F193">
        <v>2007</v>
      </c>
      <c r="G193" s="1" t="s">
        <v>13</v>
      </c>
      <c r="H193" s="1" t="s">
        <v>13</v>
      </c>
      <c r="I193">
        <v>37618.81</v>
      </c>
      <c r="J193">
        <v>5570.21</v>
      </c>
    </row>
    <row r="194" spans="1:10" x14ac:dyDescent="0.25">
      <c r="A194" s="1" t="s">
        <v>22</v>
      </c>
      <c r="B194">
        <v>2006</v>
      </c>
      <c r="C194" s="1" t="s">
        <v>13</v>
      </c>
      <c r="D194" s="1" t="s">
        <v>11</v>
      </c>
      <c r="E194">
        <v>46400.26</v>
      </c>
      <c r="F194">
        <v>2007</v>
      </c>
      <c r="G194" s="1" t="s">
        <v>13</v>
      </c>
      <c r="H194" s="1" t="s">
        <v>13</v>
      </c>
      <c r="I194">
        <v>47614.23</v>
      </c>
      <c r="J194">
        <v>1213.97</v>
      </c>
    </row>
    <row r="195" spans="1:10" x14ac:dyDescent="0.25">
      <c r="A195" s="1" t="s">
        <v>15</v>
      </c>
      <c r="B195">
        <v>2006</v>
      </c>
      <c r="C195" s="1" t="s">
        <v>11</v>
      </c>
      <c r="D195" s="1" t="s">
        <v>13</v>
      </c>
      <c r="E195">
        <v>28210.1</v>
      </c>
      <c r="F195">
        <v>2007</v>
      </c>
      <c r="G195" s="1" t="s">
        <v>13</v>
      </c>
      <c r="H195" s="1" t="s">
        <v>13</v>
      </c>
      <c r="I195">
        <v>28350.41</v>
      </c>
      <c r="J195">
        <v>140.31</v>
      </c>
    </row>
    <row r="196" spans="1:10" x14ac:dyDescent="0.25">
      <c r="A196" s="1" t="s">
        <v>25</v>
      </c>
      <c r="B196">
        <v>2006</v>
      </c>
      <c r="C196" s="1" t="s">
        <v>11</v>
      </c>
      <c r="D196" s="1" t="s">
        <v>13</v>
      </c>
      <c r="E196">
        <v>52444.2</v>
      </c>
      <c r="F196">
        <v>2007</v>
      </c>
      <c r="G196" s="1" t="s">
        <v>13</v>
      </c>
      <c r="H196" s="1" t="s">
        <v>11</v>
      </c>
      <c r="I196">
        <v>52739.1</v>
      </c>
      <c r="J196">
        <v>294.89999999999998</v>
      </c>
    </row>
    <row r="197" spans="1:10" x14ac:dyDescent="0.25">
      <c r="A197" s="1" t="s">
        <v>16</v>
      </c>
      <c r="B197">
        <v>2006</v>
      </c>
      <c r="C197" s="1" t="s">
        <v>11</v>
      </c>
      <c r="D197" s="1" t="s">
        <v>13</v>
      </c>
      <c r="E197">
        <v>41630.19</v>
      </c>
      <c r="F197">
        <v>2007</v>
      </c>
      <c r="G197" s="1" t="s">
        <v>13</v>
      </c>
      <c r="H197" s="1" t="s">
        <v>13</v>
      </c>
      <c r="I197">
        <v>47579.69</v>
      </c>
      <c r="J197">
        <v>5949.5</v>
      </c>
    </row>
    <row r="198" spans="1:10" x14ac:dyDescent="0.25">
      <c r="A198" s="1" t="s">
        <v>19</v>
      </c>
      <c r="B198">
        <v>2006</v>
      </c>
      <c r="C198" s="1" t="s">
        <v>11</v>
      </c>
      <c r="D198" s="1" t="s">
        <v>13</v>
      </c>
      <c r="E198">
        <v>24402.78</v>
      </c>
      <c r="F198">
        <v>2007</v>
      </c>
      <c r="G198" s="1" t="s">
        <v>13</v>
      </c>
      <c r="H198" s="1" t="s">
        <v>13</v>
      </c>
      <c r="I198">
        <v>23726.47</v>
      </c>
      <c r="J198">
        <v>-676.31</v>
      </c>
    </row>
    <row r="199" spans="1:10" x14ac:dyDescent="0.25">
      <c r="A199" s="1" t="s">
        <v>34</v>
      </c>
      <c r="B199">
        <v>2006</v>
      </c>
      <c r="C199" s="1" t="s">
        <v>11</v>
      </c>
      <c r="D199" s="1" t="s">
        <v>13</v>
      </c>
      <c r="E199">
        <v>32836.199999999997</v>
      </c>
      <c r="F199">
        <v>2007</v>
      </c>
      <c r="G199" s="1" t="s">
        <v>13</v>
      </c>
      <c r="H199" s="1" t="s">
        <v>13</v>
      </c>
      <c r="I199">
        <v>34445.360000000001</v>
      </c>
      <c r="J199">
        <v>1609.16</v>
      </c>
    </row>
    <row r="200" spans="1:10" x14ac:dyDescent="0.25">
      <c r="A200" s="1" t="s">
        <v>31</v>
      </c>
      <c r="B200">
        <v>2006</v>
      </c>
      <c r="C200" s="1" t="s">
        <v>11</v>
      </c>
      <c r="D200" s="1" t="s">
        <v>13</v>
      </c>
      <c r="E200">
        <v>42588.800000000003</v>
      </c>
      <c r="F200">
        <v>2007</v>
      </c>
      <c r="G200" s="1" t="s">
        <v>13</v>
      </c>
      <c r="H200" s="1" t="s">
        <v>13</v>
      </c>
      <c r="I200">
        <v>43854.07</v>
      </c>
      <c r="J200">
        <v>1265.27</v>
      </c>
    </row>
    <row r="201" spans="1:10" x14ac:dyDescent="0.25">
      <c r="A201" s="1" t="s">
        <v>41</v>
      </c>
      <c r="B201">
        <v>2007</v>
      </c>
      <c r="C201" s="1" t="s">
        <v>11</v>
      </c>
      <c r="D201" s="1" t="s">
        <v>13</v>
      </c>
      <c r="E201">
        <v>28598.85</v>
      </c>
      <c r="F201">
        <v>2008</v>
      </c>
      <c r="G201" s="1" t="s">
        <v>13</v>
      </c>
      <c r="H201" s="1" t="s">
        <v>13</v>
      </c>
      <c r="I201">
        <v>30986.720000000001</v>
      </c>
      <c r="J201">
        <v>2387.87</v>
      </c>
    </row>
    <row r="202" spans="1:10" x14ac:dyDescent="0.25">
      <c r="A202" s="1" t="s">
        <v>23</v>
      </c>
      <c r="B202">
        <v>2007</v>
      </c>
      <c r="C202" s="1" t="s">
        <v>11</v>
      </c>
      <c r="D202" s="1" t="s">
        <v>13</v>
      </c>
      <c r="E202">
        <v>36675.99</v>
      </c>
      <c r="F202">
        <v>2008</v>
      </c>
      <c r="G202" s="1" t="s">
        <v>13</v>
      </c>
      <c r="H202" s="1" t="s">
        <v>11</v>
      </c>
      <c r="I202">
        <v>37632.720000000001</v>
      </c>
      <c r="J202">
        <v>956.73</v>
      </c>
    </row>
    <row r="203" spans="1:10" x14ac:dyDescent="0.25">
      <c r="A203" s="1" t="s">
        <v>33</v>
      </c>
      <c r="B203">
        <v>2007</v>
      </c>
      <c r="C203" s="1" t="s">
        <v>11</v>
      </c>
      <c r="D203" s="1" t="s">
        <v>13</v>
      </c>
      <c r="E203">
        <v>40153.85</v>
      </c>
      <c r="F203">
        <v>2008</v>
      </c>
      <c r="G203" s="1" t="s">
        <v>11</v>
      </c>
      <c r="H203" s="1" t="s">
        <v>13</v>
      </c>
      <c r="I203">
        <v>40738.769999999997</v>
      </c>
      <c r="J203">
        <v>584.91999999999996</v>
      </c>
    </row>
    <row r="204" spans="1:10" x14ac:dyDescent="0.25">
      <c r="A204" s="1" t="s">
        <v>36</v>
      </c>
      <c r="B204">
        <v>2007</v>
      </c>
      <c r="C204" s="1" t="s">
        <v>11</v>
      </c>
      <c r="D204" s="1" t="s">
        <v>13</v>
      </c>
      <c r="E204">
        <v>28448.89</v>
      </c>
      <c r="F204">
        <v>2008</v>
      </c>
      <c r="G204" s="1" t="s">
        <v>13</v>
      </c>
      <c r="H204" s="1" t="s">
        <v>13</v>
      </c>
      <c r="I204">
        <v>26787.16</v>
      </c>
      <c r="J204">
        <v>-1661.73</v>
      </c>
    </row>
    <row r="205" spans="1:10" x14ac:dyDescent="0.25">
      <c r="A205" s="1" t="s">
        <v>37</v>
      </c>
      <c r="B205">
        <v>2007</v>
      </c>
      <c r="C205" s="1" t="s">
        <v>13</v>
      </c>
      <c r="D205" s="1" t="s">
        <v>11</v>
      </c>
      <c r="E205">
        <v>28978.66</v>
      </c>
      <c r="F205">
        <v>2008</v>
      </c>
      <c r="G205" s="1" t="s">
        <v>13</v>
      </c>
      <c r="H205" s="1" t="s">
        <v>13</v>
      </c>
      <c r="I205">
        <v>32718.74</v>
      </c>
      <c r="J205">
        <v>3740.08</v>
      </c>
    </row>
    <row r="206" spans="1:10" x14ac:dyDescent="0.25">
      <c r="A206" s="1" t="s">
        <v>43</v>
      </c>
      <c r="B206">
        <v>2007</v>
      </c>
      <c r="C206" s="1" t="s">
        <v>11</v>
      </c>
      <c r="D206" s="1" t="s">
        <v>13</v>
      </c>
      <c r="E206">
        <v>41551.01</v>
      </c>
      <c r="F206">
        <v>2008</v>
      </c>
      <c r="G206" s="1" t="s">
        <v>11</v>
      </c>
      <c r="H206" s="1" t="s">
        <v>13</v>
      </c>
      <c r="I206">
        <v>41194.410000000003</v>
      </c>
      <c r="J206">
        <v>-356.6</v>
      </c>
    </row>
    <row r="207" spans="1:10" x14ac:dyDescent="0.25">
      <c r="A207" s="1" t="s">
        <v>25</v>
      </c>
      <c r="B207">
        <v>2007</v>
      </c>
      <c r="C207" s="1" t="s">
        <v>13</v>
      </c>
      <c r="D207" s="1" t="s">
        <v>11</v>
      </c>
      <c r="E207">
        <v>52739.1</v>
      </c>
      <c r="F207">
        <v>2008</v>
      </c>
      <c r="G207" s="1" t="s">
        <v>13</v>
      </c>
      <c r="H207" s="1" t="s">
        <v>13</v>
      </c>
      <c r="I207">
        <v>53069.81</v>
      </c>
      <c r="J207">
        <v>330.71</v>
      </c>
    </row>
    <row r="208" spans="1:10" x14ac:dyDescent="0.25">
      <c r="A208" s="1" t="s">
        <v>26</v>
      </c>
      <c r="B208">
        <v>2007</v>
      </c>
      <c r="C208" s="1" t="s">
        <v>11</v>
      </c>
      <c r="D208" s="1" t="s">
        <v>13</v>
      </c>
      <c r="E208">
        <v>38374.44</v>
      </c>
      <c r="F208">
        <v>2008</v>
      </c>
      <c r="G208" s="1" t="s">
        <v>11</v>
      </c>
      <c r="H208" s="1" t="s">
        <v>13</v>
      </c>
      <c r="I208">
        <v>42254.11</v>
      </c>
      <c r="J208">
        <v>3879.67</v>
      </c>
    </row>
    <row r="209" spans="1:10" x14ac:dyDescent="0.25">
      <c r="A209" s="1" t="s">
        <v>23</v>
      </c>
      <c r="B209">
        <v>2008</v>
      </c>
      <c r="C209" s="1" t="s">
        <v>13</v>
      </c>
      <c r="D209" s="1" t="s">
        <v>11</v>
      </c>
      <c r="E209">
        <v>37632.720000000001</v>
      </c>
      <c r="F209">
        <v>2009</v>
      </c>
      <c r="G209" s="1" t="s">
        <v>13</v>
      </c>
      <c r="H209" s="1" t="s">
        <v>11</v>
      </c>
      <c r="I209">
        <v>37811.1</v>
      </c>
      <c r="J209">
        <v>178.38</v>
      </c>
    </row>
    <row r="210" spans="1:10" x14ac:dyDescent="0.25">
      <c r="A210" s="1" t="s">
        <v>32</v>
      </c>
      <c r="B210">
        <v>2008</v>
      </c>
      <c r="C210" s="1" t="s">
        <v>11</v>
      </c>
      <c r="D210" s="1" t="s">
        <v>13</v>
      </c>
      <c r="E210">
        <v>30501.26</v>
      </c>
      <c r="F210">
        <v>2009</v>
      </c>
      <c r="G210" s="1" t="s">
        <v>13</v>
      </c>
      <c r="H210" s="1" t="s">
        <v>13</v>
      </c>
      <c r="I210">
        <v>28199.54</v>
      </c>
      <c r="J210">
        <v>-2301.7199999999998</v>
      </c>
    </row>
    <row r="211" spans="1:10" x14ac:dyDescent="0.25">
      <c r="A211" s="1" t="s">
        <v>33</v>
      </c>
      <c r="B211">
        <v>2008</v>
      </c>
      <c r="C211" s="1" t="s">
        <v>11</v>
      </c>
      <c r="D211" s="1" t="s">
        <v>13</v>
      </c>
      <c r="E211">
        <v>40738.769999999997</v>
      </c>
      <c r="F211">
        <v>2009</v>
      </c>
      <c r="G211" s="1" t="s">
        <v>13</v>
      </c>
      <c r="H211" s="1" t="s">
        <v>13</v>
      </c>
      <c r="I211">
        <v>39610.74</v>
      </c>
      <c r="J211">
        <v>-1128.03</v>
      </c>
    </row>
    <row r="212" spans="1:10" x14ac:dyDescent="0.25">
      <c r="A212" s="1" t="s">
        <v>43</v>
      </c>
      <c r="B212">
        <v>2008</v>
      </c>
      <c r="C212" s="1" t="s">
        <v>11</v>
      </c>
      <c r="D212" s="1" t="s">
        <v>13</v>
      </c>
      <c r="E212">
        <v>41194.410000000003</v>
      </c>
      <c r="F212">
        <v>2009</v>
      </c>
      <c r="G212" s="1" t="s">
        <v>11</v>
      </c>
      <c r="H212" s="1" t="s">
        <v>13</v>
      </c>
      <c r="I212">
        <v>40004.769999999997</v>
      </c>
      <c r="J212">
        <v>-1189.6400000000001</v>
      </c>
    </row>
    <row r="213" spans="1:10" x14ac:dyDescent="0.25">
      <c r="A213" s="1" t="s">
        <v>22</v>
      </c>
      <c r="B213">
        <v>2008</v>
      </c>
      <c r="C213" s="1" t="s">
        <v>11</v>
      </c>
      <c r="D213" s="1" t="s">
        <v>13</v>
      </c>
      <c r="E213">
        <v>46056.21</v>
      </c>
      <c r="F213">
        <v>2009</v>
      </c>
      <c r="G213" s="1" t="s">
        <v>11</v>
      </c>
      <c r="H213" s="1" t="s">
        <v>13</v>
      </c>
      <c r="I213">
        <v>46440.36</v>
      </c>
      <c r="J213">
        <v>384.15</v>
      </c>
    </row>
    <row r="214" spans="1:10" x14ac:dyDescent="0.25">
      <c r="A214" s="1" t="s">
        <v>44</v>
      </c>
      <c r="B214">
        <v>2008</v>
      </c>
      <c r="C214" s="1" t="s">
        <v>13</v>
      </c>
      <c r="D214" s="1" t="s">
        <v>11</v>
      </c>
      <c r="E214">
        <v>37887.75</v>
      </c>
      <c r="F214">
        <v>2009</v>
      </c>
      <c r="G214" s="1" t="s">
        <v>13</v>
      </c>
      <c r="H214" s="1" t="s">
        <v>13</v>
      </c>
      <c r="I214">
        <v>37499.4</v>
      </c>
      <c r="J214">
        <v>-388.35</v>
      </c>
    </row>
    <row r="215" spans="1:10" x14ac:dyDescent="0.25">
      <c r="A215" s="1" t="s">
        <v>26</v>
      </c>
      <c r="B215">
        <v>2008</v>
      </c>
      <c r="C215" s="1" t="s">
        <v>11</v>
      </c>
      <c r="D215" s="1" t="s">
        <v>13</v>
      </c>
      <c r="E215">
        <v>42254.11</v>
      </c>
      <c r="F215">
        <v>2009</v>
      </c>
      <c r="G215" s="1" t="s">
        <v>11</v>
      </c>
      <c r="H215" s="1" t="s">
        <v>13</v>
      </c>
      <c r="I215">
        <v>44453</v>
      </c>
      <c r="J215">
        <v>2198.89</v>
      </c>
    </row>
    <row r="216" spans="1:10" x14ac:dyDescent="0.25">
      <c r="A216" s="1" t="s">
        <v>45</v>
      </c>
      <c r="B216">
        <v>2008</v>
      </c>
      <c r="C216" s="1" t="s">
        <v>11</v>
      </c>
      <c r="D216" s="1" t="s">
        <v>13</v>
      </c>
      <c r="E216">
        <v>22370.2</v>
      </c>
      <c r="F216">
        <v>2009</v>
      </c>
      <c r="G216" s="1" t="s">
        <v>13</v>
      </c>
      <c r="H216" s="1" t="s">
        <v>13</v>
      </c>
      <c r="I216">
        <v>23147.68</v>
      </c>
      <c r="J216">
        <v>777.48</v>
      </c>
    </row>
    <row r="217" spans="1:10" x14ac:dyDescent="0.25">
      <c r="A217" s="1" t="s">
        <v>23</v>
      </c>
      <c r="B217">
        <v>2009</v>
      </c>
      <c r="C217" s="1" t="s">
        <v>13</v>
      </c>
      <c r="D217" s="1" t="s">
        <v>11</v>
      </c>
      <c r="E217">
        <v>37811.1</v>
      </c>
      <c r="F217">
        <v>2010</v>
      </c>
      <c r="G217" s="1" t="s">
        <v>13</v>
      </c>
      <c r="H217" s="1" t="s">
        <v>13</v>
      </c>
      <c r="I217">
        <v>37610.43</v>
      </c>
      <c r="J217">
        <v>-200.67</v>
      </c>
    </row>
    <row r="218" spans="1:10" x14ac:dyDescent="0.25">
      <c r="A218" s="1" t="s">
        <v>37</v>
      </c>
      <c r="B218">
        <v>2009</v>
      </c>
      <c r="C218" s="1" t="s">
        <v>13</v>
      </c>
      <c r="D218" s="1" t="s">
        <v>11</v>
      </c>
      <c r="E218">
        <v>32902.22</v>
      </c>
      <c r="F218">
        <v>2010</v>
      </c>
      <c r="G218" s="1" t="s">
        <v>13</v>
      </c>
      <c r="H218" s="1" t="s">
        <v>13</v>
      </c>
      <c r="I218">
        <v>35496.85</v>
      </c>
      <c r="J218">
        <v>2594.63</v>
      </c>
    </row>
    <row r="219" spans="1:10" x14ac:dyDescent="0.25">
      <c r="A219" s="1" t="s">
        <v>43</v>
      </c>
      <c r="B219">
        <v>2009</v>
      </c>
      <c r="C219" s="1" t="s">
        <v>11</v>
      </c>
      <c r="D219" s="1" t="s">
        <v>13</v>
      </c>
      <c r="E219">
        <v>40004.769999999997</v>
      </c>
      <c r="F219">
        <v>2010</v>
      </c>
      <c r="G219" s="1" t="s">
        <v>13</v>
      </c>
      <c r="H219" s="1" t="s">
        <v>13</v>
      </c>
      <c r="I219">
        <v>40132.769999999997</v>
      </c>
      <c r="J219">
        <v>128</v>
      </c>
    </row>
    <row r="220" spans="1:10" x14ac:dyDescent="0.25">
      <c r="A220" s="1" t="s">
        <v>22</v>
      </c>
      <c r="B220">
        <v>2009</v>
      </c>
      <c r="C220" s="1" t="s">
        <v>11</v>
      </c>
      <c r="D220" s="1" t="s">
        <v>13</v>
      </c>
      <c r="E220">
        <v>46440.36</v>
      </c>
      <c r="F220">
        <v>2010</v>
      </c>
      <c r="G220" s="1" t="s">
        <v>13</v>
      </c>
      <c r="H220" s="1" t="s">
        <v>13</v>
      </c>
      <c r="I220">
        <v>43979.23</v>
      </c>
      <c r="J220">
        <v>-2461.13</v>
      </c>
    </row>
    <row r="221" spans="1:10" x14ac:dyDescent="0.25">
      <c r="A221" s="1" t="s">
        <v>15</v>
      </c>
      <c r="B221">
        <v>2009</v>
      </c>
      <c r="C221" s="1" t="s">
        <v>11</v>
      </c>
      <c r="D221" s="1" t="s">
        <v>13</v>
      </c>
      <c r="E221">
        <v>29466.3</v>
      </c>
      <c r="F221">
        <v>2010</v>
      </c>
      <c r="G221" s="1" t="s">
        <v>11</v>
      </c>
      <c r="H221" s="1" t="s">
        <v>13</v>
      </c>
      <c r="I221">
        <v>39798.019999999997</v>
      </c>
      <c r="J221">
        <v>10331.719999999999</v>
      </c>
    </row>
    <row r="222" spans="1:10" x14ac:dyDescent="0.25">
      <c r="A222" s="1" t="s">
        <v>25</v>
      </c>
      <c r="B222">
        <v>2009</v>
      </c>
      <c r="C222" s="1" t="s">
        <v>11</v>
      </c>
      <c r="D222" s="1" t="s">
        <v>13</v>
      </c>
      <c r="E222">
        <v>45918</v>
      </c>
      <c r="F222">
        <v>2010</v>
      </c>
      <c r="G222" s="1" t="s">
        <v>13</v>
      </c>
      <c r="H222" s="1" t="s">
        <v>11</v>
      </c>
      <c r="I222">
        <v>46491.44</v>
      </c>
      <c r="J222">
        <v>573.44000000000005</v>
      </c>
    </row>
    <row r="223" spans="1:10" x14ac:dyDescent="0.25">
      <c r="A223" s="1" t="s">
        <v>26</v>
      </c>
      <c r="B223">
        <v>2009</v>
      </c>
      <c r="C223" s="1" t="s">
        <v>11</v>
      </c>
      <c r="D223" s="1" t="s">
        <v>13</v>
      </c>
      <c r="E223">
        <v>44453</v>
      </c>
      <c r="F223">
        <v>2010</v>
      </c>
      <c r="G223" s="1" t="s">
        <v>11</v>
      </c>
      <c r="H223" s="1" t="s">
        <v>13</v>
      </c>
      <c r="I223">
        <v>45027.77</v>
      </c>
      <c r="J223">
        <v>574.77</v>
      </c>
    </row>
    <row r="224" spans="1:10" x14ac:dyDescent="0.25">
      <c r="A224" s="1" t="s">
        <v>31</v>
      </c>
      <c r="B224">
        <v>2009</v>
      </c>
      <c r="C224" s="1" t="s">
        <v>11</v>
      </c>
      <c r="D224" s="1" t="s">
        <v>13</v>
      </c>
      <c r="E224">
        <v>41274.720000000001</v>
      </c>
      <c r="F224">
        <v>2010</v>
      </c>
      <c r="G224" s="1" t="s">
        <v>13</v>
      </c>
      <c r="H224" s="1" t="s">
        <v>13</v>
      </c>
      <c r="I224">
        <v>40755.78</v>
      </c>
      <c r="J224">
        <v>-518.94000000000005</v>
      </c>
    </row>
    <row r="225" spans="1:10" x14ac:dyDescent="0.25">
      <c r="A225" s="1" t="s">
        <v>10</v>
      </c>
      <c r="B225">
        <v>2010</v>
      </c>
      <c r="C225" s="1" t="s">
        <v>13</v>
      </c>
      <c r="D225" s="1" t="s">
        <v>11</v>
      </c>
      <c r="E225">
        <v>30989.15</v>
      </c>
      <c r="F225">
        <v>2011</v>
      </c>
      <c r="G225" s="1" t="s">
        <v>13</v>
      </c>
      <c r="H225" s="1" t="s">
        <v>13</v>
      </c>
      <c r="I225">
        <v>29295.56</v>
      </c>
      <c r="J225">
        <v>-1693.59</v>
      </c>
    </row>
    <row r="226" spans="1:10" x14ac:dyDescent="0.25">
      <c r="A226" s="1" t="s">
        <v>17</v>
      </c>
      <c r="B226">
        <v>2010</v>
      </c>
      <c r="C226" s="1" t="s">
        <v>11</v>
      </c>
      <c r="D226" s="1" t="s">
        <v>13</v>
      </c>
      <c r="E226">
        <v>25438.89</v>
      </c>
      <c r="F226">
        <v>2011</v>
      </c>
      <c r="G226" s="1" t="s">
        <v>13</v>
      </c>
      <c r="H226" s="1" t="s">
        <v>13</v>
      </c>
      <c r="I226">
        <v>27328.25</v>
      </c>
      <c r="J226">
        <v>1889.36</v>
      </c>
    </row>
    <row r="227" spans="1:10" x14ac:dyDescent="0.25">
      <c r="A227" s="1" t="s">
        <v>15</v>
      </c>
      <c r="B227">
        <v>2010</v>
      </c>
      <c r="C227" s="1" t="s">
        <v>11</v>
      </c>
      <c r="D227" s="1" t="s">
        <v>13</v>
      </c>
      <c r="E227">
        <v>39798.019999999997</v>
      </c>
      <c r="F227">
        <v>2011</v>
      </c>
      <c r="G227" s="1" t="s">
        <v>13</v>
      </c>
      <c r="H227" s="1" t="s">
        <v>13</v>
      </c>
      <c r="I227">
        <v>39112.54</v>
      </c>
      <c r="J227">
        <v>-685.48</v>
      </c>
    </row>
    <row r="228" spans="1:10" x14ac:dyDescent="0.25">
      <c r="A228" s="1" t="s">
        <v>25</v>
      </c>
      <c r="B228">
        <v>2010</v>
      </c>
      <c r="C228" s="1" t="s">
        <v>13</v>
      </c>
      <c r="D228" s="1" t="s">
        <v>11</v>
      </c>
      <c r="E228">
        <v>46491.44</v>
      </c>
      <c r="F228">
        <v>2011</v>
      </c>
      <c r="G228" s="1" t="s">
        <v>11</v>
      </c>
      <c r="H228" s="1" t="s">
        <v>13</v>
      </c>
      <c r="I228">
        <v>45107.16</v>
      </c>
      <c r="J228">
        <v>-1384.28</v>
      </c>
    </row>
    <row r="229" spans="1:10" x14ac:dyDescent="0.25">
      <c r="A229" s="1" t="s">
        <v>26</v>
      </c>
      <c r="B229">
        <v>2010</v>
      </c>
      <c r="C229" s="1" t="s">
        <v>11</v>
      </c>
      <c r="D229" s="1" t="s">
        <v>13</v>
      </c>
      <c r="E229">
        <v>45027.77</v>
      </c>
      <c r="F229">
        <v>2011</v>
      </c>
      <c r="G229" s="1" t="s">
        <v>11</v>
      </c>
      <c r="H229" s="1" t="s">
        <v>13</v>
      </c>
      <c r="I229">
        <v>45440.959999999999</v>
      </c>
      <c r="J229">
        <v>413.19</v>
      </c>
    </row>
    <row r="230" spans="1:10" x14ac:dyDescent="0.25">
      <c r="A230" s="1" t="s">
        <v>20</v>
      </c>
      <c r="B230">
        <v>2010</v>
      </c>
      <c r="C230" s="1" t="s">
        <v>11</v>
      </c>
      <c r="D230" s="1" t="s">
        <v>13</v>
      </c>
      <c r="E230">
        <v>37497.120000000003</v>
      </c>
      <c r="F230">
        <v>2011</v>
      </c>
      <c r="G230" s="1" t="s">
        <v>13</v>
      </c>
      <c r="H230" s="1" t="s">
        <v>13</v>
      </c>
      <c r="I230">
        <v>41818.559999999998</v>
      </c>
      <c r="J230">
        <v>4321.4399999999996</v>
      </c>
    </row>
    <row r="231" spans="1:10" x14ac:dyDescent="0.25">
      <c r="A231" s="1" t="s">
        <v>45</v>
      </c>
      <c r="B231">
        <v>2010</v>
      </c>
      <c r="C231" s="1" t="s">
        <v>11</v>
      </c>
      <c r="D231" s="1" t="s">
        <v>13</v>
      </c>
      <c r="E231">
        <v>23024.720000000001</v>
      </c>
      <c r="F231">
        <v>2011</v>
      </c>
      <c r="G231" s="1" t="s">
        <v>13</v>
      </c>
      <c r="H231" s="1" t="s">
        <v>11</v>
      </c>
      <c r="I231">
        <v>18878.86</v>
      </c>
      <c r="J231">
        <v>-4145.8599999999997</v>
      </c>
    </row>
    <row r="232" spans="1:10" x14ac:dyDescent="0.25">
      <c r="A232" s="1" t="s">
        <v>39</v>
      </c>
      <c r="B232">
        <v>2010</v>
      </c>
      <c r="C232" s="1" t="s">
        <v>11</v>
      </c>
      <c r="D232" s="1" t="s">
        <v>13</v>
      </c>
      <c r="E232">
        <v>30928.04</v>
      </c>
      <c r="F232">
        <v>2011</v>
      </c>
      <c r="G232" s="1" t="s">
        <v>11</v>
      </c>
      <c r="H232" s="1" t="s">
        <v>13</v>
      </c>
      <c r="I232">
        <v>36382.089999999997</v>
      </c>
      <c r="J232">
        <v>5454.05</v>
      </c>
    </row>
    <row r="233" spans="1:10" x14ac:dyDescent="0.25">
      <c r="A233" s="1" t="s">
        <v>41</v>
      </c>
      <c r="B233">
        <v>2011</v>
      </c>
      <c r="C233" s="1" t="s">
        <v>11</v>
      </c>
      <c r="D233" s="1" t="s">
        <v>13</v>
      </c>
      <c r="E233">
        <v>25992.99</v>
      </c>
      <c r="F233">
        <v>2012</v>
      </c>
      <c r="G233" s="1" t="s">
        <v>13</v>
      </c>
      <c r="H233" s="1" t="s">
        <v>13</v>
      </c>
      <c r="I233">
        <v>26884.16</v>
      </c>
      <c r="J233">
        <v>891.17</v>
      </c>
    </row>
    <row r="234" spans="1:10" x14ac:dyDescent="0.25">
      <c r="A234" s="1" t="s">
        <v>21</v>
      </c>
      <c r="B234">
        <v>2011</v>
      </c>
      <c r="C234" s="1" t="s">
        <v>11</v>
      </c>
      <c r="D234" s="1" t="s">
        <v>13</v>
      </c>
      <c r="E234">
        <v>32617.84</v>
      </c>
      <c r="F234">
        <v>2012</v>
      </c>
      <c r="G234" s="1" t="s">
        <v>11</v>
      </c>
      <c r="H234" s="1" t="s">
        <v>13</v>
      </c>
      <c r="I234">
        <v>37383.120000000003</v>
      </c>
      <c r="J234">
        <v>4765.28</v>
      </c>
    </row>
    <row r="235" spans="1:10" x14ac:dyDescent="0.25">
      <c r="A235" s="1" t="s">
        <v>44</v>
      </c>
      <c r="B235">
        <v>2011</v>
      </c>
      <c r="C235" s="1" t="s">
        <v>11</v>
      </c>
      <c r="D235" s="1" t="s">
        <v>13</v>
      </c>
      <c r="E235">
        <v>37918.19</v>
      </c>
      <c r="F235">
        <v>2012</v>
      </c>
      <c r="G235" s="1" t="s">
        <v>13</v>
      </c>
      <c r="H235" s="1" t="s">
        <v>13</v>
      </c>
      <c r="I235">
        <v>34955.370000000003</v>
      </c>
      <c r="J235">
        <v>-2962.82</v>
      </c>
    </row>
    <row r="236" spans="1:10" x14ac:dyDescent="0.25">
      <c r="A236" s="1" t="s">
        <v>25</v>
      </c>
      <c r="B236">
        <v>2011</v>
      </c>
      <c r="C236" s="1" t="s">
        <v>11</v>
      </c>
      <c r="D236" s="1" t="s">
        <v>13</v>
      </c>
      <c r="E236">
        <v>45107.16</v>
      </c>
      <c r="F236">
        <v>2012</v>
      </c>
      <c r="G236" s="1" t="s">
        <v>11</v>
      </c>
      <c r="H236" s="1" t="s">
        <v>13</v>
      </c>
      <c r="I236">
        <v>43733.41</v>
      </c>
      <c r="J236">
        <v>-1373.75</v>
      </c>
    </row>
    <row r="237" spans="1:10" x14ac:dyDescent="0.25">
      <c r="A237" s="1" t="s">
        <v>26</v>
      </c>
      <c r="B237">
        <v>2011</v>
      </c>
      <c r="C237" s="1" t="s">
        <v>11</v>
      </c>
      <c r="D237" s="1" t="s">
        <v>13</v>
      </c>
      <c r="E237">
        <v>45440.959999999999</v>
      </c>
      <c r="F237">
        <v>2012</v>
      </c>
      <c r="G237" s="1" t="s">
        <v>13</v>
      </c>
      <c r="H237" s="1" t="s">
        <v>13</v>
      </c>
      <c r="I237">
        <v>44021.21</v>
      </c>
      <c r="J237">
        <v>-1419.75</v>
      </c>
    </row>
    <row r="238" spans="1:10" x14ac:dyDescent="0.25">
      <c r="A238" s="1" t="s">
        <v>31</v>
      </c>
      <c r="B238">
        <v>2011</v>
      </c>
      <c r="C238" s="1" t="s">
        <v>13</v>
      </c>
      <c r="D238" s="1" t="s">
        <v>11</v>
      </c>
      <c r="E238">
        <v>38196.959999999999</v>
      </c>
      <c r="F238">
        <v>2012</v>
      </c>
      <c r="G238" s="1" t="s">
        <v>13</v>
      </c>
      <c r="H238" s="1" t="s">
        <v>11</v>
      </c>
      <c r="I238">
        <v>40272.949999999997</v>
      </c>
      <c r="J238">
        <v>2075.9899999999998</v>
      </c>
    </row>
    <row r="239" spans="1:10" x14ac:dyDescent="0.25">
      <c r="A239" s="1" t="s">
        <v>45</v>
      </c>
      <c r="B239">
        <v>2011</v>
      </c>
      <c r="C239" s="1" t="s">
        <v>13</v>
      </c>
      <c r="D239" s="1" t="s">
        <v>11</v>
      </c>
      <c r="E239">
        <v>18878.86</v>
      </c>
      <c r="F239">
        <v>2012</v>
      </c>
      <c r="G239" s="1" t="s">
        <v>13</v>
      </c>
      <c r="H239" s="1" t="s">
        <v>13</v>
      </c>
      <c r="I239">
        <v>19255.32</v>
      </c>
      <c r="J239">
        <v>376.46</v>
      </c>
    </row>
    <row r="240" spans="1:10" x14ac:dyDescent="0.25">
      <c r="A240" s="1" t="s">
        <v>39</v>
      </c>
      <c r="B240">
        <v>2011</v>
      </c>
      <c r="C240" s="1" t="s">
        <v>11</v>
      </c>
      <c r="D240" s="1" t="s">
        <v>13</v>
      </c>
      <c r="E240">
        <v>36382.089999999997</v>
      </c>
      <c r="F240">
        <v>2012</v>
      </c>
      <c r="G240" s="1" t="s">
        <v>13</v>
      </c>
      <c r="H240" s="1" t="s">
        <v>11</v>
      </c>
      <c r="I240">
        <v>42719.51</v>
      </c>
      <c r="J240">
        <v>6337.42</v>
      </c>
    </row>
    <row r="241" spans="1:10" x14ac:dyDescent="0.25">
      <c r="A241" s="1" t="s">
        <v>10</v>
      </c>
      <c r="B241">
        <v>2012</v>
      </c>
      <c r="C241" s="1" t="s">
        <v>13</v>
      </c>
      <c r="D241" s="1" t="s">
        <v>11</v>
      </c>
      <c r="E241">
        <v>29878.65</v>
      </c>
      <c r="F241">
        <v>2013</v>
      </c>
      <c r="G241" s="1" t="s">
        <v>11</v>
      </c>
      <c r="H241" s="1" t="s">
        <v>13</v>
      </c>
      <c r="I241">
        <v>31465.17</v>
      </c>
      <c r="J241">
        <v>1586.52</v>
      </c>
    </row>
    <row r="242" spans="1:10" x14ac:dyDescent="0.25">
      <c r="A242" s="1" t="s">
        <v>14</v>
      </c>
      <c r="B242">
        <v>2012</v>
      </c>
      <c r="C242" s="1" t="s">
        <v>13</v>
      </c>
      <c r="D242" s="1" t="s">
        <v>11</v>
      </c>
      <c r="E242">
        <v>25953.58</v>
      </c>
      <c r="F242">
        <v>2013</v>
      </c>
      <c r="G242" s="1" t="s">
        <v>13</v>
      </c>
      <c r="H242" s="1" t="s">
        <v>13</v>
      </c>
      <c r="I242">
        <v>29105.69</v>
      </c>
      <c r="J242">
        <v>3152.11</v>
      </c>
    </row>
    <row r="243" spans="1:10" x14ac:dyDescent="0.25">
      <c r="A243" s="1" t="s">
        <v>17</v>
      </c>
      <c r="B243">
        <v>2012</v>
      </c>
      <c r="C243" s="1" t="s">
        <v>11</v>
      </c>
      <c r="D243" s="1" t="s">
        <v>13</v>
      </c>
      <c r="E243">
        <v>28978.41</v>
      </c>
      <c r="F243">
        <v>2013</v>
      </c>
      <c r="G243" s="1" t="s">
        <v>13</v>
      </c>
      <c r="H243" s="1" t="s">
        <v>11</v>
      </c>
      <c r="I243">
        <v>31289.02</v>
      </c>
      <c r="J243">
        <v>2310.61</v>
      </c>
    </row>
    <row r="244" spans="1:10" x14ac:dyDescent="0.25">
      <c r="A244" s="1" t="s">
        <v>21</v>
      </c>
      <c r="B244">
        <v>2012</v>
      </c>
      <c r="C244" s="1" t="s">
        <v>11</v>
      </c>
      <c r="D244" s="1" t="s">
        <v>13</v>
      </c>
      <c r="E244">
        <v>37383.120000000003</v>
      </c>
      <c r="F244">
        <v>2013</v>
      </c>
      <c r="G244" s="1" t="s">
        <v>11</v>
      </c>
      <c r="H244" s="1" t="s">
        <v>13</v>
      </c>
      <c r="I244">
        <v>38066.629999999997</v>
      </c>
      <c r="J244">
        <v>683.51</v>
      </c>
    </row>
    <row r="245" spans="1:10" x14ac:dyDescent="0.25">
      <c r="A245" s="1" t="s">
        <v>25</v>
      </c>
      <c r="B245">
        <v>2012</v>
      </c>
      <c r="C245" s="1" t="s">
        <v>11</v>
      </c>
      <c r="D245" s="1" t="s">
        <v>13</v>
      </c>
      <c r="E245">
        <v>43733.41</v>
      </c>
      <c r="F245">
        <v>2013</v>
      </c>
      <c r="G245" s="1" t="s">
        <v>13</v>
      </c>
      <c r="H245" s="1" t="s">
        <v>13</v>
      </c>
      <c r="I245">
        <v>40488.75</v>
      </c>
      <c r="J245">
        <v>-3244.66</v>
      </c>
    </row>
    <row r="246" spans="1:10" x14ac:dyDescent="0.25">
      <c r="A246" s="1" t="s">
        <v>19</v>
      </c>
      <c r="B246">
        <v>2012</v>
      </c>
      <c r="C246" s="1" t="s">
        <v>11</v>
      </c>
      <c r="D246" s="1" t="s">
        <v>13</v>
      </c>
      <c r="E246">
        <v>20728.560000000001</v>
      </c>
      <c r="F246">
        <v>2013</v>
      </c>
      <c r="G246" s="1" t="s">
        <v>11</v>
      </c>
      <c r="H246" s="1" t="s">
        <v>13</v>
      </c>
      <c r="I246">
        <v>22337.06</v>
      </c>
      <c r="J246">
        <v>1608.5</v>
      </c>
    </row>
    <row r="247" spans="1:10" x14ac:dyDescent="0.25">
      <c r="A247" s="1" t="s">
        <v>20</v>
      </c>
      <c r="B247">
        <v>2012</v>
      </c>
      <c r="C247" s="1" t="s">
        <v>11</v>
      </c>
      <c r="D247" s="1" t="s">
        <v>13</v>
      </c>
      <c r="E247">
        <v>41695.94</v>
      </c>
      <c r="F247">
        <v>2013</v>
      </c>
      <c r="G247" s="1" t="s">
        <v>13</v>
      </c>
      <c r="H247" s="1" t="s">
        <v>13</v>
      </c>
      <c r="I247">
        <v>41071.56</v>
      </c>
      <c r="J247">
        <v>-624.38</v>
      </c>
    </row>
    <row r="248" spans="1:10" x14ac:dyDescent="0.25">
      <c r="A248" s="1" t="s">
        <v>31</v>
      </c>
      <c r="B248">
        <v>2012</v>
      </c>
      <c r="C248" s="1" t="s">
        <v>13</v>
      </c>
      <c r="D248" s="1" t="s">
        <v>11</v>
      </c>
      <c r="E248">
        <v>40272.949999999997</v>
      </c>
      <c r="F248">
        <v>2013</v>
      </c>
      <c r="G248" s="1" t="s">
        <v>11</v>
      </c>
      <c r="H248" s="1" t="s">
        <v>13</v>
      </c>
      <c r="I248">
        <v>41602.089999999997</v>
      </c>
      <c r="J248">
        <v>1329.14</v>
      </c>
    </row>
    <row r="249" spans="1:10" x14ac:dyDescent="0.25">
      <c r="A249" s="1" t="s">
        <v>39</v>
      </c>
      <c r="B249">
        <v>2012</v>
      </c>
      <c r="C249" s="1" t="s">
        <v>13</v>
      </c>
      <c r="D249" s="1" t="s">
        <v>11</v>
      </c>
      <c r="E249">
        <v>42719.51</v>
      </c>
      <c r="F249">
        <v>2013</v>
      </c>
      <c r="G249" s="1" t="s">
        <v>13</v>
      </c>
      <c r="H249" s="1" t="s">
        <v>13</v>
      </c>
      <c r="I249">
        <v>38759.43</v>
      </c>
      <c r="J249">
        <v>-3960.08</v>
      </c>
    </row>
    <row r="250" spans="1:10" x14ac:dyDescent="0.25">
      <c r="A250" s="1" t="s">
        <v>46</v>
      </c>
      <c r="B250">
        <v>2012</v>
      </c>
      <c r="C250" s="1" t="s">
        <v>11</v>
      </c>
      <c r="D250" s="1" t="s">
        <v>13</v>
      </c>
      <c r="E250">
        <v>29269.06</v>
      </c>
      <c r="F250">
        <v>2013</v>
      </c>
      <c r="G250" s="1" t="s">
        <v>13</v>
      </c>
      <c r="H250" s="1" t="s">
        <v>13</v>
      </c>
      <c r="I250">
        <v>32745.95</v>
      </c>
      <c r="J250">
        <v>3476.89</v>
      </c>
    </row>
    <row r="251" spans="1:10" x14ac:dyDescent="0.25">
      <c r="A251" s="1" t="s">
        <v>10</v>
      </c>
      <c r="B251">
        <v>2013</v>
      </c>
      <c r="C251" s="1" t="s">
        <v>11</v>
      </c>
      <c r="D251" s="1" t="s">
        <v>13</v>
      </c>
      <c r="E251">
        <v>31465.17</v>
      </c>
      <c r="F251">
        <v>2014</v>
      </c>
      <c r="G251" s="1" t="s">
        <v>13</v>
      </c>
      <c r="H251" s="1" t="s">
        <v>13</v>
      </c>
      <c r="I251">
        <v>29065.49</v>
      </c>
      <c r="J251">
        <v>-2399.6799999999998</v>
      </c>
    </row>
    <row r="252" spans="1:10" x14ac:dyDescent="0.25">
      <c r="A252" s="1" t="s">
        <v>23</v>
      </c>
      <c r="B252">
        <v>2013</v>
      </c>
      <c r="C252" s="1" t="s">
        <v>11</v>
      </c>
      <c r="D252" s="1" t="s">
        <v>13</v>
      </c>
      <c r="E252">
        <v>34979.42</v>
      </c>
      <c r="F252">
        <v>2014</v>
      </c>
      <c r="G252" s="1" t="s">
        <v>13</v>
      </c>
      <c r="H252" s="1" t="s">
        <v>13</v>
      </c>
      <c r="I252">
        <v>36494.93</v>
      </c>
      <c r="J252">
        <v>1515.51</v>
      </c>
    </row>
    <row r="253" spans="1:10" x14ac:dyDescent="0.25">
      <c r="A253" s="1" t="s">
        <v>17</v>
      </c>
      <c r="B253">
        <v>2013</v>
      </c>
      <c r="C253" s="1" t="s">
        <v>13</v>
      </c>
      <c r="D253" s="1" t="s">
        <v>11</v>
      </c>
      <c r="E253">
        <v>31289.02</v>
      </c>
      <c r="F253">
        <v>2014</v>
      </c>
      <c r="G253" s="1" t="s">
        <v>13</v>
      </c>
      <c r="H253" s="1" t="s">
        <v>13</v>
      </c>
      <c r="I253">
        <v>30576.1</v>
      </c>
      <c r="J253">
        <v>-712.92</v>
      </c>
    </row>
    <row r="254" spans="1:10" x14ac:dyDescent="0.25">
      <c r="A254" s="1" t="s">
        <v>36</v>
      </c>
      <c r="B254">
        <v>2013</v>
      </c>
      <c r="C254" s="1" t="s">
        <v>13</v>
      </c>
      <c r="D254" s="1" t="s">
        <v>11</v>
      </c>
      <c r="E254">
        <v>19418.84</v>
      </c>
      <c r="F254">
        <v>2014</v>
      </c>
      <c r="G254" s="1" t="s">
        <v>13</v>
      </c>
      <c r="H254" s="1" t="s">
        <v>13</v>
      </c>
      <c r="I254">
        <v>17745.59</v>
      </c>
      <c r="J254">
        <v>-1673.25</v>
      </c>
    </row>
    <row r="255" spans="1:10" x14ac:dyDescent="0.25">
      <c r="A255" s="1" t="s">
        <v>21</v>
      </c>
      <c r="B255">
        <v>2013</v>
      </c>
      <c r="C255" s="1" t="s">
        <v>11</v>
      </c>
      <c r="D255" s="1" t="s">
        <v>13</v>
      </c>
      <c r="E255">
        <v>38066.629999999997</v>
      </c>
      <c r="F255">
        <v>2014</v>
      </c>
      <c r="G255" s="1" t="s">
        <v>11</v>
      </c>
      <c r="H255" s="1" t="s">
        <v>13</v>
      </c>
      <c r="I255">
        <v>36014.93</v>
      </c>
      <c r="J255">
        <v>-2051.6999999999998</v>
      </c>
    </row>
    <row r="256" spans="1:10" x14ac:dyDescent="0.25">
      <c r="A256" s="1" t="s">
        <v>22</v>
      </c>
      <c r="B256">
        <v>2013</v>
      </c>
      <c r="C256" s="1" t="s">
        <v>11</v>
      </c>
      <c r="D256" s="1" t="s">
        <v>13</v>
      </c>
      <c r="E256">
        <v>46216.38</v>
      </c>
      <c r="F256">
        <v>2014</v>
      </c>
      <c r="G256" s="1" t="s">
        <v>11</v>
      </c>
      <c r="H256" s="1" t="s">
        <v>13</v>
      </c>
      <c r="I256">
        <v>46695.519999999997</v>
      </c>
      <c r="J256">
        <v>479.14</v>
      </c>
    </row>
    <row r="257" spans="1:10" x14ac:dyDescent="0.25">
      <c r="A257" s="1" t="s">
        <v>19</v>
      </c>
      <c r="B257">
        <v>2013</v>
      </c>
      <c r="C257" s="1" t="s">
        <v>11</v>
      </c>
      <c r="D257" s="1" t="s">
        <v>13</v>
      </c>
      <c r="E257">
        <v>22337.06</v>
      </c>
      <c r="F257">
        <v>2014</v>
      </c>
      <c r="G257" s="1" t="s">
        <v>13</v>
      </c>
      <c r="H257" s="1" t="s">
        <v>11</v>
      </c>
      <c r="I257">
        <v>24736.15</v>
      </c>
      <c r="J257">
        <v>2399.09</v>
      </c>
    </row>
    <row r="258" spans="1:10" x14ac:dyDescent="0.25">
      <c r="A258" s="1" t="s">
        <v>18</v>
      </c>
      <c r="B258">
        <v>2013</v>
      </c>
      <c r="C258" s="1" t="s">
        <v>13</v>
      </c>
      <c r="D258" s="1" t="s">
        <v>11</v>
      </c>
      <c r="E258">
        <v>27862.49</v>
      </c>
      <c r="F258">
        <v>2014</v>
      </c>
      <c r="G258" s="1" t="s">
        <v>13</v>
      </c>
      <c r="H258" s="1" t="s">
        <v>11</v>
      </c>
      <c r="I258">
        <v>30155.11</v>
      </c>
      <c r="J258">
        <v>2292.62</v>
      </c>
    </row>
    <row r="259" spans="1:10" x14ac:dyDescent="0.25">
      <c r="A259" s="1" t="s">
        <v>31</v>
      </c>
      <c r="B259">
        <v>2013</v>
      </c>
      <c r="C259" s="1" t="s">
        <v>11</v>
      </c>
      <c r="D259" s="1" t="s">
        <v>13</v>
      </c>
      <c r="E259">
        <v>41602.089999999997</v>
      </c>
      <c r="F259">
        <v>2014</v>
      </c>
      <c r="G259" s="1" t="s">
        <v>11</v>
      </c>
      <c r="H259" s="1" t="s">
        <v>13</v>
      </c>
      <c r="I259">
        <v>43711.72</v>
      </c>
      <c r="J259">
        <v>2109.63</v>
      </c>
    </row>
    <row r="260" spans="1:10" x14ac:dyDescent="0.25">
      <c r="A260" s="1" t="s">
        <v>45</v>
      </c>
      <c r="B260">
        <v>2013</v>
      </c>
      <c r="C260" s="1" t="s">
        <v>13</v>
      </c>
      <c r="D260" s="1" t="s">
        <v>11</v>
      </c>
      <c r="E260">
        <v>18645.68</v>
      </c>
      <c r="F260">
        <v>2014</v>
      </c>
      <c r="G260" s="1" t="s">
        <v>13</v>
      </c>
      <c r="H260" s="1" t="s">
        <v>13</v>
      </c>
      <c r="I260">
        <v>17857.580000000002</v>
      </c>
      <c r="J260">
        <v>-788.1</v>
      </c>
    </row>
    <row r="261" spans="1:10" x14ac:dyDescent="0.25">
      <c r="A261" s="1" t="s">
        <v>14</v>
      </c>
      <c r="B261">
        <v>2014</v>
      </c>
      <c r="C261" s="1" t="s">
        <v>11</v>
      </c>
      <c r="D261" s="1" t="s">
        <v>13</v>
      </c>
      <c r="E261">
        <v>30425.59</v>
      </c>
      <c r="F261">
        <v>2015</v>
      </c>
      <c r="G261" s="1" t="s">
        <v>13</v>
      </c>
      <c r="H261" s="1" t="s">
        <v>13</v>
      </c>
      <c r="I261">
        <v>28649.23</v>
      </c>
      <c r="J261">
        <v>-1776.36</v>
      </c>
    </row>
    <row r="262" spans="1:10" x14ac:dyDescent="0.25">
      <c r="A262" s="1" t="s">
        <v>21</v>
      </c>
      <c r="B262">
        <v>2014</v>
      </c>
      <c r="C262" s="1" t="s">
        <v>11</v>
      </c>
      <c r="D262" s="1" t="s">
        <v>13</v>
      </c>
      <c r="E262">
        <v>36014.93</v>
      </c>
      <c r="F262">
        <v>2015</v>
      </c>
      <c r="G262" s="1" t="s">
        <v>13</v>
      </c>
      <c r="H262" s="1" t="s">
        <v>13</v>
      </c>
      <c r="I262">
        <v>33654.910000000003</v>
      </c>
      <c r="J262">
        <v>-2360.02</v>
      </c>
    </row>
    <row r="263" spans="1:10" x14ac:dyDescent="0.25">
      <c r="A263" s="1" t="s">
        <v>24</v>
      </c>
      <c r="B263">
        <v>2014</v>
      </c>
      <c r="C263" s="1" t="s">
        <v>13</v>
      </c>
      <c r="D263" s="1" t="s">
        <v>11</v>
      </c>
      <c r="E263">
        <v>24154.1</v>
      </c>
      <c r="F263">
        <v>2015</v>
      </c>
      <c r="G263" s="1" t="s">
        <v>11</v>
      </c>
      <c r="H263" s="1" t="s">
        <v>13</v>
      </c>
      <c r="I263">
        <v>33438.879999999997</v>
      </c>
      <c r="J263">
        <v>9284.7800000000007</v>
      </c>
    </row>
    <row r="264" spans="1:10" x14ac:dyDescent="0.25">
      <c r="A264" s="1" t="s">
        <v>43</v>
      </c>
      <c r="B264">
        <v>2014</v>
      </c>
      <c r="C264" s="1" t="s">
        <v>11</v>
      </c>
      <c r="D264" s="1" t="s">
        <v>13</v>
      </c>
      <c r="E264">
        <v>38221.42</v>
      </c>
      <c r="F264">
        <v>2015</v>
      </c>
      <c r="G264" s="1" t="s">
        <v>13</v>
      </c>
      <c r="H264" s="1" t="s">
        <v>13</v>
      </c>
      <c r="I264">
        <v>37194.629999999997</v>
      </c>
      <c r="J264">
        <v>-1026.79</v>
      </c>
    </row>
    <row r="265" spans="1:10" x14ac:dyDescent="0.25">
      <c r="A265" s="1" t="s">
        <v>22</v>
      </c>
      <c r="B265">
        <v>2014</v>
      </c>
      <c r="C265" s="1" t="s">
        <v>11</v>
      </c>
      <c r="D265" s="1" t="s">
        <v>13</v>
      </c>
      <c r="E265">
        <v>46695.519999999997</v>
      </c>
      <c r="F265">
        <v>2015</v>
      </c>
      <c r="G265" s="1" t="s">
        <v>11</v>
      </c>
      <c r="H265" s="1" t="s">
        <v>13</v>
      </c>
      <c r="I265">
        <v>46479.199999999997</v>
      </c>
      <c r="J265">
        <v>-216.32</v>
      </c>
    </row>
    <row r="266" spans="1:10" x14ac:dyDescent="0.25">
      <c r="A266" s="1" t="s">
        <v>19</v>
      </c>
      <c r="B266">
        <v>2014</v>
      </c>
      <c r="C266" s="1" t="s">
        <v>13</v>
      </c>
      <c r="D266" s="1" t="s">
        <v>11</v>
      </c>
      <c r="E266">
        <v>24736.15</v>
      </c>
      <c r="F266">
        <v>2015</v>
      </c>
      <c r="G266" s="1" t="s">
        <v>13</v>
      </c>
      <c r="H266" s="1" t="s">
        <v>13</v>
      </c>
      <c r="I266">
        <v>21829.32</v>
      </c>
      <c r="J266">
        <v>-2906.83</v>
      </c>
    </row>
    <row r="267" spans="1:10" x14ac:dyDescent="0.25">
      <c r="A267" s="1" t="s">
        <v>18</v>
      </c>
      <c r="B267">
        <v>2014</v>
      </c>
      <c r="C267" s="1" t="s">
        <v>13</v>
      </c>
      <c r="D267" s="1" t="s">
        <v>11</v>
      </c>
      <c r="E267">
        <v>30155.11</v>
      </c>
      <c r="F267">
        <v>2015</v>
      </c>
      <c r="G267" s="1" t="s">
        <v>13</v>
      </c>
      <c r="H267" s="1" t="s">
        <v>11</v>
      </c>
      <c r="I267">
        <v>30846.86</v>
      </c>
      <c r="J267">
        <v>691.75</v>
      </c>
    </row>
    <row r="268" spans="1:10" x14ac:dyDescent="0.25">
      <c r="A268" s="1" t="s">
        <v>20</v>
      </c>
      <c r="B268">
        <v>2014</v>
      </c>
      <c r="C268" s="1" t="s">
        <v>13</v>
      </c>
      <c r="D268" s="1" t="s">
        <v>11</v>
      </c>
      <c r="E268">
        <v>41588.85</v>
      </c>
      <c r="F268">
        <v>2015</v>
      </c>
      <c r="G268" s="1" t="s">
        <v>13</v>
      </c>
      <c r="H268" s="1" t="s">
        <v>13</v>
      </c>
      <c r="I268">
        <v>41677.56</v>
      </c>
      <c r="J268">
        <v>88.71</v>
      </c>
    </row>
    <row r="269" spans="1:10" x14ac:dyDescent="0.25">
      <c r="A269" s="1" t="s">
        <v>31</v>
      </c>
      <c r="B269">
        <v>2014</v>
      </c>
      <c r="C269" s="1" t="s">
        <v>11</v>
      </c>
      <c r="D269" s="1" t="s">
        <v>13</v>
      </c>
      <c r="E269">
        <v>43711.72</v>
      </c>
      <c r="F269">
        <v>2015</v>
      </c>
      <c r="G269" s="1" t="s">
        <v>11</v>
      </c>
      <c r="H269" s="1" t="s">
        <v>13</v>
      </c>
      <c r="I269">
        <v>43467.77</v>
      </c>
      <c r="J269">
        <v>-243.95</v>
      </c>
    </row>
    <row r="270" spans="1:10" x14ac:dyDescent="0.25">
      <c r="A270" s="1" t="s">
        <v>46</v>
      </c>
      <c r="B270">
        <v>2014</v>
      </c>
      <c r="C270" s="1" t="s">
        <v>11</v>
      </c>
      <c r="D270" s="1" t="s">
        <v>13</v>
      </c>
      <c r="E270">
        <v>31844.31</v>
      </c>
      <c r="F270">
        <v>2015</v>
      </c>
      <c r="G270" s="1" t="s">
        <v>13</v>
      </c>
      <c r="H270" s="1" t="s">
        <v>13</v>
      </c>
      <c r="I270">
        <v>32343.74</v>
      </c>
      <c r="J270">
        <v>499.43</v>
      </c>
    </row>
    <row r="271" spans="1:10" x14ac:dyDescent="0.25">
      <c r="A271" s="1" t="s">
        <v>33</v>
      </c>
      <c r="B271">
        <v>2015</v>
      </c>
      <c r="C271" s="1" t="s">
        <v>13</v>
      </c>
      <c r="D271" s="1" t="s">
        <v>11</v>
      </c>
      <c r="E271">
        <v>36038.54</v>
      </c>
      <c r="F271">
        <v>2016</v>
      </c>
      <c r="G271" s="1" t="s">
        <v>11</v>
      </c>
      <c r="H271" s="1" t="s">
        <v>13</v>
      </c>
      <c r="I271">
        <v>39906.42</v>
      </c>
      <c r="J271">
        <v>3867.88</v>
      </c>
    </row>
    <row r="272" spans="1:10" x14ac:dyDescent="0.25">
      <c r="A272" s="1" t="s">
        <v>28</v>
      </c>
      <c r="B272">
        <v>2015</v>
      </c>
      <c r="C272" s="1" t="s">
        <v>13</v>
      </c>
      <c r="D272" s="1" t="s">
        <v>11</v>
      </c>
      <c r="E272">
        <v>26587.47</v>
      </c>
      <c r="F272">
        <v>2016</v>
      </c>
      <c r="G272" s="1" t="s">
        <v>13</v>
      </c>
      <c r="H272" s="1" t="s">
        <v>13</v>
      </c>
      <c r="I272">
        <v>28476.83</v>
      </c>
      <c r="J272">
        <v>1889.36</v>
      </c>
    </row>
    <row r="273" spans="1:10" x14ac:dyDescent="0.25">
      <c r="A273" s="1" t="s">
        <v>24</v>
      </c>
      <c r="B273">
        <v>2015</v>
      </c>
      <c r="C273" s="1" t="s">
        <v>11</v>
      </c>
      <c r="D273" s="1" t="s">
        <v>13</v>
      </c>
      <c r="E273">
        <v>33438.879999999997</v>
      </c>
      <c r="F273">
        <v>2016</v>
      </c>
      <c r="G273" s="1" t="s">
        <v>13</v>
      </c>
      <c r="H273" s="1" t="s">
        <v>13</v>
      </c>
      <c r="I273">
        <v>31576.69</v>
      </c>
      <c r="J273">
        <v>-1862.19</v>
      </c>
    </row>
    <row r="274" spans="1:10" x14ac:dyDescent="0.25">
      <c r="A274" s="1" t="s">
        <v>22</v>
      </c>
      <c r="B274">
        <v>2015</v>
      </c>
      <c r="C274" s="1" t="s">
        <v>11</v>
      </c>
      <c r="D274" s="1" t="s">
        <v>13</v>
      </c>
      <c r="E274">
        <v>46479.199999999997</v>
      </c>
      <c r="F274">
        <v>2016</v>
      </c>
      <c r="G274" s="1" t="s">
        <v>11</v>
      </c>
      <c r="H274" s="1" t="s">
        <v>13</v>
      </c>
      <c r="I274">
        <v>45719.9</v>
      </c>
      <c r="J274">
        <v>-759.3</v>
      </c>
    </row>
    <row r="275" spans="1:10" x14ac:dyDescent="0.25">
      <c r="A275" s="1" t="s">
        <v>25</v>
      </c>
      <c r="B275">
        <v>2015</v>
      </c>
      <c r="C275" s="1" t="s">
        <v>13</v>
      </c>
      <c r="D275" s="1" t="s">
        <v>11</v>
      </c>
      <c r="E275">
        <v>39429.57</v>
      </c>
      <c r="F275">
        <v>2016</v>
      </c>
      <c r="G275" s="1" t="s">
        <v>13</v>
      </c>
      <c r="H275" s="1" t="s">
        <v>13</v>
      </c>
      <c r="I275">
        <v>37819.81</v>
      </c>
      <c r="J275">
        <v>-1609.76</v>
      </c>
    </row>
    <row r="276" spans="1:10" x14ac:dyDescent="0.25">
      <c r="A276" s="1" t="s">
        <v>16</v>
      </c>
      <c r="B276">
        <v>2015</v>
      </c>
      <c r="C276" s="1" t="s">
        <v>11</v>
      </c>
      <c r="D276" s="1" t="s">
        <v>13</v>
      </c>
      <c r="E276">
        <v>31725.35</v>
      </c>
      <c r="F276">
        <v>2016</v>
      </c>
      <c r="G276" s="1" t="s">
        <v>13</v>
      </c>
      <c r="H276" s="1" t="s">
        <v>11</v>
      </c>
      <c r="I276">
        <v>34439.53</v>
      </c>
      <c r="J276">
        <v>2714.18</v>
      </c>
    </row>
    <row r="277" spans="1:10" x14ac:dyDescent="0.25">
      <c r="A277" s="1" t="s">
        <v>18</v>
      </c>
      <c r="B277">
        <v>2015</v>
      </c>
      <c r="C277" s="1" t="s">
        <v>13</v>
      </c>
      <c r="D277" s="1" t="s">
        <v>11</v>
      </c>
      <c r="E277">
        <v>30846.86</v>
      </c>
      <c r="F277">
        <v>2016</v>
      </c>
      <c r="G277" s="1" t="s">
        <v>13</v>
      </c>
      <c r="H277" s="1" t="s">
        <v>13</v>
      </c>
      <c r="I277">
        <v>27767.91</v>
      </c>
      <c r="J277">
        <v>-3078.95</v>
      </c>
    </row>
    <row r="278" spans="1:10" x14ac:dyDescent="0.25">
      <c r="A278" s="1" t="s">
        <v>31</v>
      </c>
      <c r="B278">
        <v>2015</v>
      </c>
      <c r="C278" s="1" t="s">
        <v>11</v>
      </c>
      <c r="D278" s="1" t="s">
        <v>13</v>
      </c>
      <c r="E278">
        <v>43467.77</v>
      </c>
      <c r="F278">
        <v>2016</v>
      </c>
      <c r="G278" s="1" t="s">
        <v>13</v>
      </c>
      <c r="H278" s="1" t="s">
        <v>13</v>
      </c>
      <c r="I278">
        <v>42524.57</v>
      </c>
      <c r="J278">
        <v>-943.2</v>
      </c>
    </row>
    <row r="279" spans="1:10" x14ac:dyDescent="0.25">
      <c r="A279" s="1" t="s">
        <v>39</v>
      </c>
      <c r="B279">
        <v>2015</v>
      </c>
      <c r="C279" s="1" t="s">
        <v>11</v>
      </c>
      <c r="D279" s="1" t="s">
        <v>13</v>
      </c>
      <c r="E279">
        <v>30763.89</v>
      </c>
      <c r="F279">
        <v>2016</v>
      </c>
      <c r="G279" s="1" t="s">
        <v>11</v>
      </c>
      <c r="H279" s="1" t="s">
        <v>13</v>
      </c>
      <c r="I279">
        <v>33461.75</v>
      </c>
      <c r="J279">
        <v>2697.86</v>
      </c>
    </row>
    <row r="280" spans="1:10" x14ac:dyDescent="0.25">
      <c r="A280" s="1" t="s">
        <v>35</v>
      </c>
      <c r="B280">
        <v>2015</v>
      </c>
      <c r="C280" s="1" t="s">
        <v>11</v>
      </c>
      <c r="D280" s="1" t="s">
        <v>13</v>
      </c>
      <c r="E280">
        <v>34504.83</v>
      </c>
      <c r="F280">
        <v>2016</v>
      </c>
      <c r="G280" s="1" t="s">
        <v>13</v>
      </c>
      <c r="H280" s="1" t="s">
        <v>11</v>
      </c>
      <c r="I280">
        <v>41877.769999999997</v>
      </c>
      <c r="J280">
        <v>7372.94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52C0F-2D77-4F56-BEDC-2E90E53DDA3C}">
  <dimension ref="A3:B39"/>
  <sheetViews>
    <sheetView workbookViewId="0">
      <selection activeCell="A4" sqref="A4:A13"/>
    </sheetView>
  </sheetViews>
  <sheetFormatPr defaultRowHeight="15" x14ac:dyDescent="0.25"/>
  <cols>
    <col min="1" max="1" width="13.42578125" bestFit="1" customWidth="1"/>
    <col min="2" max="2" width="14" bestFit="1" customWidth="1"/>
  </cols>
  <sheetData>
    <row r="3" spans="1:2" x14ac:dyDescent="0.25">
      <c r="A3" s="2" t="s">
        <v>52</v>
      </c>
      <c r="B3" t="s">
        <v>55</v>
      </c>
    </row>
    <row r="4" spans="1:2" x14ac:dyDescent="0.25">
      <c r="A4" s="3" t="s">
        <v>25</v>
      </c>
      <c r="B4" s="1">
        <v>23</v>
      </c>
    </row>
    <row r="5" spans="1:2" x14ac:dyDescent="0.25">
      <c r="A5" s="3" t="s">
        <v>10</v>
      </c>
      <c r="B5" s="1">
        <v>19</v>
      </c>
    </row>
    <row r="6" spans="1:2" x14ac:dyDescent="0.25">
      <c r="A6" s="3" t="s">
        <v>19</v>
      </c>
      <c r="B6" s="1">
        <v>18</v>
      </c>
    </row>
    <row r="7" spans="1:2" x14ac:dyDescent="0.25">
      <c r="A7" s="3" t="s">
        <v>31</v>
      </c>
      <c r="B7" s="1">
        <v>16</v>
      </c>
    </row>
    <row r="8" spans="1:2" x14ac:dyDescent="0.25">
      <c r="A8" s="3" t="s">
        <v>22</v>
      </c>
      <c r="B8" s="1">
        <v>16</v>
      </c>
    </row>
    <row r="9" spans="1:2" x14ac:dyDescent="0.25">
      <c r="A9" s="3" t="s">
        <v>23</v>
      </c>
      <c r="B9" s="1">
        <v>14</v>
      </c>
    </row>
    <row r="10" spans="1:2" x14ac:dyDescent="0.25">
      <c r="A10" s="3" t="s">
        <v>18</v>
      </c>
      <c r="B10" s="1">
        <v>12</v>
      </c>
    </row>
    <row r="11" spans="1:2" x14ac:dyDescent="0.25">
      <c r="A11" s="3" t="s">
        <v>26</v>
      </c>
      <c r="B11" s="1">
        <v>12</v>
      </c>
    </row>
    <row r="12" spans="1:2" x14ac:dyDescent="0.25">
      <c r="A12" s="3" t="s">
        <v>17</v>
      </c>
      <c r="B12" s="1">
        <v>11</v>
      </c>
    </row>
    <row r="13" spans="1:2" x14ac:dyDescent="0.25">
      <c r="A13" s="3" t="s">
        <v>14</v>
      </c>
      <c r="B13" s="1">
        <v>11</v>
      </c>
    </row>
    <row r="14" spans="1:2" x14ac:dyDescent="0.25">
      <c r="A14" s="3" t="s">
        <v>20</v>
      </c>
      <c r="B14" s="1">
        <v>10</v>
      </c>
    </row>
    <row r="15" spans="1:2" x14ac:dyDescent="0.25">
      <c r="A15" s="3" t="s">
        <v>28</v>
      </c>
      <c r="B15" s="1">
        <v>10</v>
      </c>
    </row>
    <row r="16" spans="1:2" x14ac:dyDescent="0.25">
      <c r="A16" s="3" t="s">
        <v>15</v>
      </c>
      <c r="B16" s="1">
        <v>10</v>
      </c>
    </row>
    <row r="17" spans="1:2" x14ac:dyDescent="0.25">
      <c r="A17" s="3" t="s">
        <v>24</v>
      </c>
      <c r="B17" s="1">
        <v>9</v>
      </c>
    </row>
    <row r="18" spans="1:2" x14ac:dyDescent="0.25">
      <c r="A18" s="3" t="s">
        <v>36</v>
      </c>
      <c r="B18" s="1">
        <v>8</v>
      </c>
    </row>
    <row r="19" spans="1:2" x14ac:dyDescent="0.25">
      <c r="A19" s="3" t="s">
        <v>21</v>
      </c>
      <c r="B19" s="1">
        <v>8</v>
      </c>
    </row>
    <row r="20" spans="1:2" x14ac:dyDescent="0.25">
      <c r="A20" s="3" t="s">
        <v>16</v>
      </c>
      <c r="B20" s="1">
        <v>8</v>
      </c>
    </row>
    <row r="21" spans="1:2" x14ac:dyDescent="0.25">
      <c r="A21" s="3" t="s">
        <v>33</v>
      </c>
      <c r="B21" s="1">
        <v>7</v>
      </c>
    </row>
    <row r="22" spans="1:2" x14ac:dyDescent="0.25">
      <c r="A22" s="3" t="s">
        <v>39</v>
      </c>
      <c r="B22" s="1">
        <v>7</v>
      </c>
    </row>
    <row r="23" spans="1:2" x14ac:dyDescent="0.25">
      <c r="A23" s="3" t="s">
        <v>35</v>
      </c>
      <c r="B23" s="1">
        <v>6</v>
      </c>
    </row>
    <row r="24" spans="1:2" x14ac:dyDescent="0.25">
      <c r="A24" s="3" t="s">
        <v>43</v>
      </c>
      <c r="B24" s="1">
        <v>5</v>
      </c>
    </row>
    <row r="25" spans="1:2" x14ac:dyDescent="0.25">
      <c r="A25" s="3" t="s">
        <v>32</v>
      </c>
      <c r="B25" s="1">
        <v>5</v>
      </c>
    </row>
    <row r="26" spans="1:2" x14ac:dyDescent="0.25">
      <c r="A26" s="3" t="s">
        <v>41</v>
      </c>
      <c r="B26" s="1">
        <v>5</v>
      </c>
    </row>
    <row r="27" spans="1:2" x14ac:dyDescent="0.25">
      <c r="A27" s="3" t="s">
        <v>34</v>
      </c>
      <c r="B27" s="1">
        <v>5</v>
      </c>
    </row>
    <row r="28" spans="1:2" x14ac:dyDescent="0.25">
      <c r="A28" s="3" t="s">
        <v>38</v>
      </c>
      <c r="B28" s="1">
        <v>4</v>
      </c>
    </row>
    <row r="29" spans="1:2" x14ac:dyDescent="0.25">
      <c r="A29" s="3" t="s">
        <v>45</v>
      </c>
      <c r="B29" s="1">
        <v>4</v>
      </c>
    </row>
    <row r="30" spans="1:2" x14ac:dyDescent="0.25">
      <c r="A30" s="3" t="s">
        <v>37</v>
      </c>
      <c r="B30" s="1">
        <v>3</v>
      </c>
    </row>
    <row r="31" spans="1:2" x14ac:dyDescent="0.25">
      <c r="A31" s="3" t="s">
        <v>27</v>
      </c>
      <c r="B31" s="1">
        <v>3</v>
      </c>
    </row>
    <row r="32" spans="1:2" x14ac:dyDescent="0.25">
      <c r="A32" s="3" t="s">
        <v>46</v>
      </c>
      <c r="B32" s="1">
        <v>2</v>
      </c>
    </row>
    <row r="33" spans="1:2" x14ac:dyDescent="0.25">
      <c r="A33" s="3" t="s">
        <v>44</v>
      </c>
      <c r="B33" s="1">
        <v>2</v>
      </c>
    </row>
    <row r="34" spans="1:2" x14ac:dyDescent="0.25">
      <c r="A34" s="3" t="s">
        <v>40</v>
      </c>
      <c r="B34" s="1">
        <v>2</v>
      </c>
    </row>
    <row r="35" spans="1:2" x14ac:dyDescent="0.25">
      <c r="A35" s="3" t="s">
        <v>29</v>
      </c>
      <c r="B35" s="1">
        <v>2</v>
      </c>
    </row>
    <row r="36" spans="1:2" x14ac:dyDescent="0.25">
      <c r="A36" s="3" t="s">
        <v>30</v>
      </c>
      <c r="B36" s="1">
        <v>1</v>
      </c>
    </row>
    <row r="37" spans="1:2" x14ac:dyDescent="0.25">
      <c r="A37" s="3" t="s">
        <v>42</v>
      </c>
      <c r="B37" s="1">
        <v>1</v>
      </c>
    </row>
    <row r="38" spans="1:2" x14ac:dyDescent="0.25">
      <c r="A38" s="3" t="s">
        <v>53</v>
      </c>
      <c r="B38" s="1"/>
    </row>
    <row r="39" spans="1:2" x14ac:dyDescent="0.25">
      <c r="A39" s="3" t="s">
        <v>54</v>
      </c>
      <c r="B39" s="1">
        <v>279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B9624-A02F-4954-93F6-8929B9D53D67}">
  <dimension ref="A3:B329"/>
  <sheetViews>
    <sheetView tabSelected="1" workbookViewId="0">
      <selection activeCell="A3" sqref="A3"/>
    </sheetView>
  </sheetViews>
  <sheetFormatPr defaultRowHeight="15" x14ac:dyDescent="0.25"/>
  <cols>
    <col min="1" max="1" width="13.42578125" bestFit="1" customWidth="1"/>
    <col min="2" max="2" width="25.28515625" bestFit="1" customWidth="1"/>
    <col min="3" max="3" width="35.7109375" bestFit="1" customWidth="1"/>
  </cols>
  <sheetData>
    <row r="3" spans="1:2" x14ac:dyDescent="0.25">
      <c r="A3" s="2" t="s">
        <v>52</v>
      </c>
      <c r="B3" t="s">
        <v>56</v>
      </c>
    </row>
    <row r="4" spans="1:2" x14ac:dyDescent="0.25">
      <c r="A4" s="3">
        <v>1969</v>
      </c>
      <c r="B4" s="1">
        <v>299.27999999999975</v>
      </c>
    </row>
    <row r="5" spans="1:2" x14ac:dyDescent="0.25">
      <c r="A5" s="4" t="s">
        <v>10</v>
      </c>
      <c r="B5" s="1">
        <v>-5212.92</v>
      </c>
    </row>
    <row r="6" spans="1:2" x14ac:dyDescent="0.25">
      <c r="A6" s="4" t="s">
        <v>14</v>
      </c>
      <c r="B6" s="1">
        <v>191.8</v>
      </c>
    </row>
    <row r="7" spans="1:2" x14ac:dyDescent="0.25">
      <c r="A7" s="4" t="s">
        <v>15</v>
      </c>
      <c r="B7" s="1">
        <v>-842.58</v>
      </c>
    </row>
    <row r="8" spans="1:2" x14ac:dyDescent="0.25">
      <c r="A8" s="4" t="s">
        <v>16</v>
      </c>
      <c r="B8" s="1">
        <v>6162.98</v>
      </c>
    </row>
    <row r="9" spans="1:2" x14ac:dyDescent="0.25">
      <c r="A9" s="3">
        <v>1970</v>
      </c>
      <c r="B9" s="1">
        <v>-3762.9500000000007</v>
      </c>
    </row>
    <row r="10" spans="1:2" x14ac:dyDescent="0.25">
      <c r="A10" s="4" t="s">
        <v>14</v>
      </c>
      <c r="B10" s="1">
        <v>725.87</v>
      </c>
    </row>
    <row r="11" spans="1:2" x14ac:dyDescent="0.25">
      <c r="A11" s="4" t="s">
        <v>17</v>
      </c>
      <c r="B11" s="1">
        <v>-3840.8</v>
      </c>
    </row>
    <row r="12" spans="1:2" x14ac:dyDescent="0.25">
      <c r="A12" s="4" t="s">
        <v>15</v>
      </c>
      <c r="B12" s="1">
        <v>-3536.68</v>
      </c>
    </row>
    <row r="13" spans="1:2" x14ac:dyDescent="0.25">
      <c r="A13" s="4" t="s">
        <v>18</v>
      </c>
      <c r="B13" s="1">
        <v>2888.66</v>
      </c>
    </row>
    <row r="14" spans="1:2" x14ac:dyDescent="0.25">
      <c r="A14" s="3">
        <v>1971</v>
      </c>
      <c r="B14" s="1">
        <v>-5770.65</v>
      </c>
    </row>
    <row r="15" spans="1:2" x14ac:dyDescent="0.25">
      <c r="A15" s="4" t="s">
        <v>14</v>
      </c>
      <c r="B15" s="1">
        <v>-1412.86</v>
      </c>
    </row>
    <row r="16" spans="1:2" x14ac:dyDescent="0.25">
      <c r="A16" s="4" t="s">
        <v>19</v>
      </c>
      <c r="B16" s="1">
        <v>838.19</v>
      </c>
    </row>
    <row r="17" spans="1:2" x14ac:dyDescent="0.25">
      <c r="A17" s="4" t="s">
        <v>18</v>
      </c>
      <c r="B17" s="1">
        <v>245</v>
      </c>
    </row>
    <row r="18" spans="1:2" x14ac:dyDescent="0.25">
      <c r="A18" s="4" t="s">
        <v>20</v>
      </c>
      <c r="B18" s="1">
        <v>-5440.98</v>
      </c>
    </row>
    <row r="19" spans="1:2" x14ac:dyDescent="0.25">
      <c r="A19" s="3">
        <v>1972</v>
      </c>
      <c r="B19" s="1">
        <v>-3002.15</v>
      </c>
    </row>
    <row r="20" spans="1:2" x14ac:dyDescent="0.25">
      <c r="A20" s="4" t="s">
        <v>17</v>
      </c>
      <c r="B20" s="1">
        <v>3489.3</v>
      </c>
    </row>
    <row r="21" spans="1:2" x14ac:dyDescent="0.25">
      <c r="A21" s="4" t="s">
        <v>21</v>
      </c>
      <c r="B21" s="1">
        <v>-3570.54</v>
      </c>
    </row>
    <row r="22" spans="1:2" x14ac:dyDescent="0.25">
      <c r="A22" s="4" t="s">
        <v>19</v>
      </c>
      <c r="B22" s="1">
        <v>300.2</v>
      </c>
    </row>
    <row r="23" spans="1:2" x14ac:dyDescent="0.25">
      <c r="A23" s="4" t="s">
        <v>18</v>
      </c>
      <c r="B23" s="1">
        <v>-3221.11</v>
      </c>
    </row>
    <row r="24" spans="1:2" x14ac:dyDescent="0.25">
      <c r="A24" s="3">
        <v>1973</v>
      </c>
      <c r="B24" s="1">
        <v>-3185.61</v>
      </c>
    </row>
    <row r="25" spans="1:2" x14ac:dyDescent="0.25">
      <c r="A25" s="4" t="s">
        <v>14</v>
      </c>
      <c r="B25" s="1">
        <v>28.56</v>
      </c>
    </row>
    <row r="26" spans="1:2" x14ac:dyDescent="0.25">
      <c r="A26" s="4" t="s">
        <v>17</v>
      </c>
      <c r="B26" s="1">
        <v>1116.07</v>
      </c>
    </row>
    <row r="27" spans="1:2" x14ac:dyDescent="0.25">
      <c r="A27" s="4" t="s">
        <v>16</v>
      </c>
      <c r="B27" s="1">
        <v>-2313.17</v>
      </c>
    </row>
    <row r="28" spans="1:2" x14ac:dyDescent="0.25">
      <c r="A28" s="4" t="s">
        <v>19</v>
      </c>
      <c r="B28" s="1">
        <v>-2017.07</v>
      </c>
    </row>
    <row r="29" spans="1:2" x14ac:dyDescent="0.25">
      <c r="A29" s="3">
        <v>1974</v>
      </c>
      <c r="B29" s="1">
        <v>5312.08</v>
      </c>
    </row>
    <row r="30" spans="1:2" x14ac:dyDescent="0.25">
      <c r="A30" s="4" t="s">
        <v>14</v>
      </c>
      <c r="B30" s="1">
        <v>1130.4100000000001</v>
      </c>
    </row>
    <row r="31" spans="1:2" x14ac:dyDescent="0.25">
      <c r="A31" s="4" t="s">
        <v>22</v>
      </c>
      <c r="B31" s="1">
        <v>-955.2</v>
      </c>
    </row>
    <row r="32" spans="1:2" x14ac:dyDescent="0.25">
      <c r="A32" s="4" t="s">
        <v>19</v>
      </c>
      <c r="B32" s="1">
        <v>2974.51</v>
      </c>
    </row>
    <row r="33" spans="1:2" x14ac:dyDescent="0.25">
      <c r="A33" s="4" t="s">
        <v>18</v>
      </c>
      <c r="B33" s="1">
        <v>2162.36</v>
      </c>
    </row>
    <row r="34" spans="1:2" x14ac:dyDescent="0.25">
      <c r="A34" s="3">
        <v>1975</v>
      </c>
      <c r="B34" s="1">
        <v>-1174.2699999999995</v>
      </c>
    </row>
    <row r="35" spans="1:2" x14ac:dyDescent="0.25">
      <c r="A35" s="4" t="s">
        <v>23</v>
      </c>
      <c r="B35" s="1">
        <v>1819.35</v>
      </c>
    </row>
    <row r="36" spans="1:2" x14ac:dyDescent="0.25">
      <c r="A36" s="4" t="s">
        <v>17</v>
      </c>
      <c r="B36" s="1">
        <v>3877.84</v>
      </c>
    </row>
    <row r="37" spans="1:2" x14ac:dyDescent="0.25">
      <c r="A37" s="4" t="s">
        <v>19</v>
      </c>
      <c r="B37" s="1">
        <v>-3662.37</v>
      </c>
    </row>
    <row r="38" spans="1:2" x14ac:dyDescent="0.25">
      <c r="A38" s="4" t="s">
        <v>18</v>
      </c>
      <c r="B38" s="1">
        <v>-3209.09</v>
      </c>
    </row>
    <row r="39" spans="1:2" x14ac:dyDescent="0.25">
      <c r="A39" s="3">
        <v>1976</v>
      </c>
      <c r="B39" s="1">
        <v>7399.24</v>
      </c>
    </row>
    <row r="40" spans="1:2" x14ac:dyDescent="0.25">
      <c r="A40" s="4" t="s">
        <v>17</v>
      </c>
      <c r="B40" s="1">
        <v>-1279.96</v>
      </c>
    </row>
    <row r="41" spans="1:2" x14ac:dyDescent="0.25">
      <c r="A41" s="4" t="s">
        <v>24</v>
      </c>
      <c r="B41" s="1">
        <v>2597.6999999999998</v>
      </c>
    </row>
    <row r="42" spans="1:2" x14ac:dyDescent="0.25">
      <c r="A42" s="4" t="s">
        <v>25</v>
      </c>
      <c r="B42" s="1">
        <v>3368.73</v>
      </c>
    </row>
    <row r="43" spans="1:2" x14ac:dyDescent="0.25">
      <c r="A43" s="4" t="s">
        <v>26</v>
      </c>
      <c r="B43" s="1">
        <v>2712.77</v>
      </c>
    </row>
    <row r="44" spans="1:2" x14ac:dyDescent="0.25">
      <c r="A44" s="3">
        <v>1977</v>
      </c>
      <c r="B44" s="1">
        <v>8989.8299999999981</v>
      </c>
    </row>
    <row r="45" spans="1:2" x14ac:dyDescent="0.25">
      <c r="A45" s="4" t="s">
        <v>24</v>
      </c>
      <c r="B45" s="1">
        <v>4517.5200000000004</v>
      </c>
    </row>
    <row r="46" spans="1:2" x14ac:dyDescent="0.25">
      <c r="A46" s="4" t="s">
        <v>22</v>
      </c>
      <c r="B46" s="1">
        <v>4971.8</v>
      </c>
    </row>
    <row r="47" spans="1:2" x14ac:dyDescent="0.25">
      <c r="A47" s="4" t="s">
        <v>25</v>
      </c>
      <c r="B47" s="1">
        <v>1337.97</v>
      </c>
    </row>
    <row r="48" spans="1:2" x14ac:dyDescent="0.25">
      <c r="A48" s="4" t="s">
        <v>26</v>
      </c>
      <c r="B48" s="1">
        <v>-1837.46</v>
      </c>
    </row>
    <row r="49" spans="1:2" x14ac:dyDescent="0.25">
      <c r="A49" s="3">
        <v>1978</v>
      </c>
      <c r="B49" s="1">
        <v>-1692.7699999999991</v>
      </c>
    </row>
    <row r="50" spans="1:2" x14ac:dyDescent="0.25">
      <c r="A50" s="4" t="s">
        <v>24</v>
      </c>
      <c r="B50" s="1">
        <v>78.42</v>
      </c>
    </row>
    <row r="51" spans="1:2" x14ac:dyDescent="0.25">
      <c r="A51" s="4" t="s">
        <v>22</v>
      </c>
      <c r="B51" s="1">
        <v>-6010.48</v>
      </c>
    </row>
    <row r="52" spans="1:2" x14ac:dyDescent="0.25">
      <c r="A52" s="4" t="s">
        <v>25</v>
      </c>
      <c r="B52" s="1">
        <v>1474.68</v>
      </c>
    </row>
    <row r="53" spans="1:2" x14ac:dyDescent="0.25">
      <c r="A53" s="4" t="s">
        <v>26</v>
      </c>
      <c r="B53" s="1">
        <v>2764.61</v>
      </c>
    </row>
    <row r="54" spans="1:2" x14ac:dyDescent="0.25">
      <c r="A54" s="3">
        <v>1979</v>
      </c>
      <c r="B54" s="1">
        <v>-3919.0400000000004</v>
      </c>
    </row>
    <row r="55" spans="1:2" x14ac:dyDescent="0.25">
      <c r="A55" s="4" t="s">
        <v>14</v>
      </c>
      <c r="B55" s="1">
        <v>1012.97</v>
      </c>
    </row>
    <row r="56" spans="1:2" x14ac:dyDescent="0.25">
      <c r="A56" s="4" t="s">
        <v>27</v>
      </c>
      <c r="B56" s="1">
        <v>-2793.19</v>
      </c>
    </row>
    <row r="57" spans="1:2" x14ac:dyDescent="0.25">
      <c r="A57" s="4" t="s">
        <v>17</v>
      </c>
      <c r="B57" s="1">
        <v>-4686.1000000000004</v>
      </c>
    </row>
    <row r="58" spans="1:2" x14ac:dyDescent="0.25">
      <c r="A58" s="4" t="s">
        <v>18</v>
      </c>
      <c r="B58" s="1">
        <v>2547.2800000000002</v>
      </c>
    </row>
    <row r="59" spans="1:2" x14ac:dyDescent="0.25">
      <c r="A59" s="3">
        <v>1980</v>
      </c>
      <c r="B59" s="1">
        <v>-7447.75</v>
      </c>
    </row>
    <row r="60" spans="1:2" x14ac:dyDescent="0.25">
      <c r="A60" s="4" t="s">
        <v>28</v>
      </c>
      <c r="B60" s="1">
        <v>-2588.65</v>
      </c>
    </row>
    <row r="61" spans="1:2" x14ac:dyDescent="0.25">
      <c r="A61" s="4" t="s">
        <v>24</v>
      </c>
      <c r="B61" s="1">
        <v>-1050.17</v>
      </c>
    </row>
    <row r="62" spans="1:2" x14ac:dyDescent="0.25">
      <c r="A62" s="4" t="s">
        <v>25</v>
      </c>
      <c r="B62" s="1">
        <v>-780.74</v>
      </c>
    </row>
    <row r="63" spans="1:2" x14ac:dyDescent="0.25">
      <c r="A63" s="4" t="s">
        <v>26</v>
      </c>
      <c r="B63" s="1">
        <v>-3028.19</v>
      </c>
    </row>
    <row r="64" spans="1:2" x14ac:dyDescent="0.25">
      <c r="A64" s="3">
        <v>1981</v>
      </c>
      <c r="B64" s="1">
        <v>-4929.16</v>
      </c>
    </row>
    <row r="65" spans="1:2" x14ac:dyDescent="0.25">
      <c r="A65" s="4" t="s">
        <v>30</v>
      </c>
      <c r="B65" s="1">
        <v>1234.71</v>
      </c>
    </row>
    <row r="66" spans="1:2" x14ac:dyDescent="0.25">
      <c r="A66" s="4" t="s">
        <v>28</v>
      </c>
      <c r="B66" s="1">
        <v>-6642.16</v>
      </c>
    </row>
    <row r="67" spans="1:2" x14ac:dyDescent="0.25">
      <c r="A67" s="4" t="s">
        <v>24</v>
      </c>
      <c r="B67" s="1">
        <v>919.4</v>
      </c>
    </row>
    <row r="68" spans="1:2" x14ac:dyDescent="0.25">
      <c r="A68" s="4" t="s">
        <v>22</v>
      </c>
      <c r="B68" s="1">
        <v>2008.04</v>
      </c>
    </row>
    <row r="69" spans="1:2" x14ac:dyDescent="0.25">
      <c r="A69" s="4" t="s">
        <v>29</v>
      </c>
      <c r="B69" s="1">
        <v>6203.69</v>
      </c>
    </row>
    <row r="70" spans="1:2" x14ac:dyDescent="0.25">
      <c r="A70" s="4" t="s">
        <v>25</v>
      </c>
      <c r="B70" s="1">
        <v>-6456.28</v>
      </c>
    </row>
    <row r="71" spans="1:2" x14ac:dyDescent="0.25">
      <c r="A71" s="4" t="s">
        <v>19</v>
      </c>
      <c r="B71" s="1">
        <v>-1715.54</v>
      </c>
    </row>
    <row r="72" spans="1:2" x14ac:dyDescent="0.25">
      <c r="A72" s="4" t="s">
        <v>26</v>
      </c>
      <c r="B72" s="1">
        <v>-481.02</v>
      </c>
    </row>
    <row r="73" spans="1:2" x14ac:dyDescent="0.25">
      <c r="A73" s="3">
        <v>1982</v>
      </c>
      <c r="B73" s="1">
        <v>7834.92</v>
      </c>
    </row>
    <row r="74" spans="1:2" x14ac:dyDescent="0.25">
      <c r="A74" s="4" t="s">
        <v>10</v>
      </c>
      <c r="B74" s="1">
        <v>4232.3900000000003</v>
      </c>
    </row>
    <row r="75" spans="1:2" x14ac:dyDescent="0.25">
      <c r="A75" s="4" t="s">
        <v>27</v>
      </c>
      <c r="B75" s="1">
        <v>-3110.92</v>
      </c>
    </row>
    <row r="76" spans="1:2" x14ac:dyDescent="0.25">
      <c r="A76" s="4" t="s">
        <v>29</v>
      </c>
      <c r="B76" s="1">
        <v>3852.37</v>
      </c>
    </row>
    <row r="77" spans="1:2" x14ac:dyDescent="0.25">
      <c r="A77" s="4" t="s">
        <v>31</v>
      </c>
      <c r="B77" s="1">
        <v>2861.08</v>
      </c>
    </row>
    <row r="78" spans="1:2" x14ac:dyDescent="0.25">
      <c r="A78" s="3">
        <v>1983</v>
      </c>
      <c r="B78" s="1">
        <v>-5604.39</v>
      </c>
    </row>
    <row r="79" spans="1:2" x14ac:dyDescent="0.25">
      <c r="A79" s="4" t="s">
        <v>14</v>
      </c>
      <c r="B79" s="1">
        <v>9.99</v>
      </c>
    </row>
    <row r="80" spans="1:2" x14ac:dyDescent="0.25">
      <c r="A80" s="4" t="s">
        <v>32</v>
      </c>
      <c r="B80" s="1">
        <v>37.21</v>
      </c>
    </row>
    <row r="81" spans="1:2" x14ac:dyDescent="0.25">
      <c r="A81" s="4" t="s">
        <v>22</v>
      </c>
      <c r="B81" s="1">
        <v>-5164.88</v>
      </c>
    </row>
    <row r="82" spans="1:2" x14ac:dyDescent="0.25">
      <c r="A82" s="4" t="s">
        <v>26</v>
      </c>
      <c r="B82" s="1">
        <v>-486.71</v>
      </c>
    </row>
    <row r="83" spans="1:2" x14ac:dyDescent="0.25">
      <c r="A83" s="3">
        <v>1984</v>
      </c>
      <c r="B83" s="1">
        <v>2390.75</v>
      </c>
    </row>
    <row r="84" spans="1:2" x14ac:dyDescent="0.25">
      <c r="A84" s="4" t="s">
        <v>33</v>
      </c>
      <c r="B84" s="1">
        <v>334.91</v>
      </c>
    </row>
    <row r="85" spans="1:2" x14ac:dyDescent="0.25">
      <c r="A85" s="4" t="s">
        <v>21</v>
      </c>
      <c r="B85" s="1">
        <v>-4755.54</v>
      </c>
    </row>
    <row r="86" spans="1:2" x14ac:dyDescent="0.25">
      <c r="A86" s="4" t="s">
        <v>24</v>
      </c>
      <c r="B86" s="1">
        <v>4028.67</v>
      </c>
    </row>
    <row r="87" spans="1:2" x14ac:dyDescent="0.25">
      <c r="A87" s="4" t="s">
        <v>34</v>
      </c>
      <c r="B87" s="1">
        <v>2782.71</v>
      </c>
    </row>
    <row r="88" spans="1:2" x14ac:dyDescent="0.25">
      <c r="A88" s="3">
        <v>1985</v>
      </c>
      <c r="B88" s="1">
        <v>-3144.24</v>
      </c>
    </row>
    <row r="89" spans="1:2" x14ac:dyDescent="0.25">
      <c r="A89" s="4" t="s">
        <v>24</v>
      </c>
      <c r="B89" s="1">
        <v>2276.84</v>
      </c>
    </row>
    <row r="90" spans="1:2" x14ac:dyDescent="0.25">
      <c r="A90" s="4" t="s">
        <v>22</v>
      </c>
      <c r="B90" s="1">
        <v>-2857.72</v>
      </c>
    </row>
    <row r="91" spans="1:2" x14ac:dyDescent="0.25">
      <c r="A91" s="4" t="s">
        <v>31</v>
      </c>
      <c r="B91" s="1">
        <v>-2016.33</v>
      </c>
    </row>
    <row r="92" spans="1:2" x14ac:dyDescent="0.25">
      <c r="A92" s="4" t="s">
        <v>35</v>
      </c>
      <c r="B92" s="1">
        <v>-547.03</v>
      </c>
    </row>
    <row r="93" spans="1:2" x14ac:dyDescent="0.25">
      <c r="A93" s="3">
        <v>1986</v>
      </c>
      <c r="B93" s="1">
        <v>7869.3499999999995</v>
      </c>
    </row>
    <row r="94" spans="1:2" x14ac:dyDescent="0.25">
      <c r="A94" s="4" t="s">
        <v>23</v>
      </c>
      <c r="B94" s="1">
        <v>1393.21</v>
      </c>
    </row>
    <row r="95" spans="1:2" x14ac:dyDescent="0.25">
      <c r="A95" s="4" t="s">
        <v>27</v>
      </c>
      <c r="B95" s="1">
        <v>902.87</v>
      </c>
    </row>
    <row r="96" spans="1:2" x14ac:dyDescent="0.25">
      <c r="A96" s="4" t="s">
        <v>28</v>
      </c>
      <c r="B96" s="1">
        <v>2305.3200000000002</v>
      </c>
    </row>
    <row r="97" spans="1:2" x14ac:dyDescent="0.25">
      <c r="A97" s="4" t="s">
        <v>16</v>
      </c>
      <c r="B97" s="1">
        <v>3267.95</v>
      </c>
    </row>
    <row r="98" spans="1:2" x14ac:dyDescent="0.25">
      <c r="A98" s="3">
        <v>1987</v>
      </c>
      <c r="B98" s="1">
        <v>8082.0400000000009</v>
      </c>
    </row>
    <row r="99" spans="1:2" x14ac:dyDescent="0.25">
      <c r="A99" s="4" t="s">
        <v>21</v>
      </c>
      <c r="B99" s="1">
        <v>237.93</v>
      </c>
    </row>
    <row r="100" spans="1:2" x14ac:dyDescent="0.25">
      <c r="A100" s="4" t="s">
        <v>15</v>
      </c>
      <c r="B100" s="1">
        <v>11701.19</v>
      </c>
    </row>
    <row r="101" spans="1:2" x14ac:dyDescent="0.25">
      <c r="A101" s="4" t="s">
        <v>20</v>
      </c>
      <c r="B101" s="1">
        <v>-1621.99</v>
      </c>
    </row>
    <row r="102" spans="1:2" x14ac:dyDescent="0.25">
      <c r="A102" s="4" t="s">
        <v>31</v>
      </c>
      <c r="B102" s="1">
        <v>-2235.09</v>
      </c>
    </row>
    <row r="103" spans="1:2" x14ac:dyDescent="0.25">
      <c r="A103" s="3">
        <v>1988</v>
      </c>
      <c r="B103" s="1">
        <v>2800.2399999999993</v>
      </c>
    </row>
    <row r="104" spans="1:2" x14ac:dyDescent="0.25">
      <c r="A104" s="4" t="s">
        <v>23</v>
      </c>
      <c r="B104" s="1">
        <v>601.61</v>
      </c>
    </row>
    <row r="105" spans="1:2" x14ac:dyDescent="0.25">
      <c r="A105" s="4" t="s">
        <v>22</v>
      </c>
      <c r="B105" s="1">
        <v>-449.74</v>
      </c>
    </row>
    <row r="106" spans="1:2" x14ac:dyDescent="0.25">
      <c r="A106" s="4" t="s">
        <v>16</v>
      </c>
      <c r="B106" s="1">
        <v>-2094.7800000000002</v>
      </c>
    </row>
    <row r="107" spans="1:2" x14ac:dyDescent="0.25">
      <c r="A107" s="4" t="s">
        <v>19</v>
      </c>
      <c r="B107" s="1">
        <v>4743.1499999999996</v>
      </c>
    </row>
    <row r="108" spans="1:2" x14ac:dyDescent="0.25">
      <c r="A108" s="3">
        <v>1989</v>
      </c>
      <c r="B108" s="1">
        <v>5080.54</v>
      </c>
    </row>
    <row r="109" spans="1:2" x14ac:dyDescent="0.25">
      <c r="A109" s="4" t="s">
        <v>33</v>
      </c>
      <c r="B109" s="1">
        <v>-3068.37</v>
      </c>
    </row>
    <row r="110" spans="1:2" x14ac:dyDescent="0.25">
      <c r="A110" s="4" t="s">
        <v>19</v>
      </c>
      <c r="B110" s="1">
        <v>2858.79</v>
      </c>
    </row>
    <row r="111" spans="1:2" x14ac:dyDescent="0.25">
      <c r="A111" s="4" t="s">
        <v>20</v>
      </c>
      <c r="B111" s="1">
        <v>-977.67</v>
      </c>
    </row>
    <row r="112" spans="1:2" x14ac:dyDescent="0.25">
      <c r="A112" s="4" t="s">
        <v>35</v>
      </c>
      <c r="B112" s="1">
        <v>6267.79</v>
      </c>
    </row>
    <row r="113" spans="1:2" x14ac:dyDescent="0.25">
      <c r="A113" s="3">
        <v>1990</v>
      </c>
      <c r="B113" s="1">
        <v>-2414.2400000000002</v>
      </c>
    </row>
    <row r="114" spans="1:2" x14ac:dyDescent="0.25">
      <c r="A114" s="4" t="s">
        <v>23</v>
      </c>
      <c r="B114" s="1">
        <v>1018</v>
      </c>
    </row>
    <row r="115" spans="1:2" x14ac:dyDescent="0.25">
      <c r="A115" s="4" t="s">
        <v>17</v>
      </c>
      <c r="B115" s="1">
        <v>-434.4</v>
      </c>
    </row>
    <row r="116" spans="1:2" x14ac:dyDescent="0.25">
      <c r="A116" s="4" t="s">
        <v>19</v>
      </c>
      <c r="B116" s="1">
        <v>-2345.8000000000002</v>
      </c>
    </row>
    <row r="117" spans="1:2" x14ac:dyDescent="0.25">
      <c r="A117" s="4" t="s">
        <v>18</v>
      </c>
      <c r="B117" s="1">
        <v>-652.04</v>
      </c>
    </row>
    <row r="118" spans="1:2" x14ac:dyDescent="0.25">
      <c r="A118" s="3">
        <v>1991</v>
      </c>
      <c r="B118" s="1">
        <v>12195.710000000001</v>
      </c>
    </row>
    <row r="119" spans="1:2" x14ac:dyDescent="0.25">
      <c r="A119" s="4" t="s">
        <v>10</v>
      </c>
      <c r="B119" s="1">
        <v>11570.16</v>
      </c>
    </row>
    <row r="120" spans="1:2" x14ac:dyDescent="0.25">
      <c r="A120" s="4" t="s">
        <v>15</v>
      </c>
      <c r="B120" s="1">
        <v>2325.2600000000002</v>
      </c>
    </row>
    <row r="121" spans="1:2" x14ac:dyDescent="0.25">
      <c r="A121" s="4" t="s">
        <v>18</v>
      </c>
      <c r="B121" s="1">
        <v>-2030.47</v>
      </c>
    </row>
    <row r="122" spans="1:2" x14ac:dyDescent="0.25">
      <c r="A122" s="4" t="s">
        <v>35</v>
      </c>
      <c r="B122" s="1">
        <v>330.76</v>
      </c>
    </row>
    <row r="123" spans="1:2" x14ac:dyDescent="0.25">
      <c r="A123" s="3">
        <v>1992</v>
      </c>
      <c r="B123" s="1">
        <v>2281.9600000000005</v>
      </c>
    </row>
    <row r="124" spans="1:2" x14ac:dyDescent="0.25">
      <c r="A124" s="4" t="s">
        <v>10</v>
      </c>
      <c r="B124" s="1">
        <v>9902.57</v>
      </c>
    </row>
    <row r="125" spans="1:2" x14ac:dyDescent="0.25">
      <c r="A125" s="4" t="s">
        <v>19</v>
      </c>
      <c r="B125" s="1">
        <v>-5741.94</v>
      </c>
    </row>
    <row r="126" spans="1:2" x14ac:dyDescent="0.25">
      <c r="A126" s="4" t="s">
        <v>18</v>
      </c>
      <c r="B126" s="1">
        <v>-2241.9899999999998</v>
      </c>
    </row>
    <row r="127" spans="1:2" x14ac:dyDescent="0.25">
      <c r="A127" s="4" t="s">
        <v>35</v>
      </c>
      <c r="B127" s="1">
        <v>363.32</v>
      </c>
    </row>
    <row r="128" spans="1:2" x14ac:dyDescent="0.25">
      <c r="A128" s="3">
        <v>1993</v>
      </c>
      <c r="B128" s="1">
        <v>-3032.74</v>
      </c>
    </row>
    <row r="129" spans="1:2" x14ac:dyDescent="0.25">
      <c r="A129" s="4" t="s">
        <v>10</v>
      </c>
      <c r="B129" s="1">
        <v>-1818.07</v>
      </c>
    </row>
    <row r="130" spans="1:2" x14ac:dyDescent="0.25">
      <c r="A130" s="4" t="s">
        <v>32</v>
      </c>
      <c r="B130" s="1">
        <v>162.37</v>
      </c>
    </row>
    <row r="131" spans="1:2" x14ac:dyDescent="0.25">
      <c r="A131" s="4" t="s">
        <v>26</v>
      </c>
      <c r="B131" s="1">
        <v>-568.66999999999996</v>
      </c>
    </row>
    <row r="132" spans="1:2" x14ac:dyDescent="0.25">
      <c r="A132" s="4" t="s">
        <v>35</v>
      </c>
      <c r="B132" s="1">
        <v>-808.37</v>
      </c>
    </row>
    <row r="133" spans="1:2" x14ac:dyDescent="0.25">
      <c r="A133" s="3">
        <v>1995</v>
      </c>
      <c r="B133" s="1">
        <v>16208.11</v>
      </c>
    </row>
    <row r="134" spans="1:2" x14ac:dyDescent="0.25">
      <c r="A134" s="4" t="s">
        <v>10</v>
      </c>
      <c r="B134" s="1">
        <v>169.79</v>
      </c>
    </row>
    <row r="135" spans="1:2" x14ac:dyDescent="0.25">
      <c r="A135" s="4" t="s">
        <v>23</v>
      </c>
      <c r="B135" s="1">
        <v>-1476.57</v>
      </c>
    </row>
    <row r="136" spans="1:2" x14ac:dyDescent="0.25">
      <c r="A136" s="4" t="s">
        <v>17</v>
      </c>
      <c r="B136" s="1">
        <v>-2312.4499999999998</v>
      </c>
    </row>
    <row r="137" spans="1:2" x14ac:dyDescent="0.25">
      <c r="A137" s="4" t="s">
        <v>36</v>
      </c>
      <c r="B137" s="1">
        <v>2018.73</v>
      </c>
    </row>
    <row r="138" spans="1:2" x14ac:dyDescent="0.25">
      <c r="A138" s="4" t="s">
        <v>37</v>
      </c>
      <c r="B138" s="1">
        <v>973.37</v>
      </c>
    </row>
    <row r="139" spans="1:2" x14ac:dyDescent="0.25">
      <c r="A139" s="4" t="s">
        <v>22</v>
      </c>
      <c r="B139" s="1">
        <v>938.24</v>
      </c>
    </row>
    <row r="140" spans="1:2" x14ac:dyDescent="0.25">
      <c r="A140" s="4" t="s">
        <v>25</v>
      </c>
      <c r="B140" s="1">
        <v>4774.46</v>
      </c>
    </row>
    <row r="141" spans="1:2" x14ac:dyDescent="0.25">
      <c r="A141" s="4" t="s">
        <v>38</v>
      </c>
      <c r="B141" s="1">
        <v>11122.54</v>
      </c>
    </row>
    <row r="142" spans="1:2" x14ac:dyDescent="0.25">
      <c r="A142" s="3">
        <v>1996</v>
      </c>
      <c r="B142" s="1">
        <v>12960.590000000002</v>
      </c>
    </row>
    <row r="143" spans="1:2" x14ac:dyDescent="0.25">
      <c r="A143" s="4" t="s">
        <v>10</v>
      </c>
      <c r="B143" s="1">
        <v>6775.33</v>
      </c>
    </row>
    <row r="144" spans="1:2" x14ac:dyDescent="0.25">
      <c r="A144" s="4" t="s">
        <v>14</v>
      </c>
      <c r="B144" s="1">
        <v>1014.75</v>
      </c>
    </row>
    <row r="145" spans="1:2" x14ac:dyDescent="0.25">
      <c r="A145" s="4" t="s">
        <v>36</v>
      </c>
      <c r="B145" s="1">
        <v>409.51</v>
      </c>
    </row>
    <row r="146" spans="1:2" x14ac:dyDescent="0.25">
      <c r="A146" s="4" t="s">
        <v>22</v>
      </c>
      <c r="B146" s="1">
        <v>1615.63</v>
      </c>
    </row>
    <row r="147" spans="1:2" x14ac:dyDescent="0.25">
      <c r="A147" s="4" t="s">
        <v>25</v>
      </c>
      <c r="B147" s="1">
        <v>4074.9</v>
      </c>
    </row>
    <row r="148" spans="1:2" x14ac:dyDescent="0.25">
      <c r="A148" s="4" t="s">
        <v>34</v>
      </c>
      <c r="B148" s="1">
        <v>-1464.02</v>
      </c>
    </row>
    <row r="149" spans="1:2" x14ac:dyDescent="0.25">
      <c r="A149" s="4" t="s">
        <v>31</v>
      </c>
      <c r="B149" s="1">
        <v>107.95</v>
      </c>
    </row>
    <row r="150" spans="1:2" x14ac:dyDescent="0.25">
      <c r="A150" s="4" t="s">
        <v>39</v>
      </c>
      <c r="B150" s="1">
        <v>426.54</v>
      </c>
    </row>
    <row r="151" spans="1:2" x14ac:dyDescent="0.25">
      <c r="A151" s="3">
        <v>1997</v>
      </c>
      <c r="B151" s="1">
        <v>-2464.16</v>
      </c>
    </row>
    <row r="152" spans="1:2" x14ac:dyDescent="0.25">
      <c r="A152" s="4" t="s">
        <v>10</v>
      </c>
      <c r="B152" s="1">
        <v>-1064.9100000000001</v>
      </c>
    </row>
    <row r="153" spans="1:2" x14ac:dyDescent="0.25">
      <c r="A153" s="4" t="s">
        <v>14</v>
      </c>
      <c r="B153" s="1">
        <v>-96.64</v>
      </c>
    </row>
    <row r="154" spans="1:2" x14ac:dyDescent="0.25">
      <c r="A154" s="4" t="s">
        <v>36</v>
      </c>
      <c r="B154" s="1">
        <v>895.67</v>
      </c>
    </row>
    <row r="155" spans="1:2" x14ac:dyDescent="0.25">
      <c r="A155" s="4" t="s">
        <v>40</v>
      </c>
      <c r="B155" s="1">
        <v>-7434.23</v>
      </c>
    </row>
    <row r="156" spans="1:2" x14ac:dyDescent="0.25">
      <c r="A156" s="4" t="s">
        <v>28</v>
      </c>
      <c r="B156" s="1">
        <v>4989.83</v>
      </c>
    </row>
    <row r="157" spans="1:2" x14ac:dyDescent="0.25">
      <c r="A157" s="4" t="s">
        <v>25</v>
      </c>
      <c r="B157" s="1">
        <v>4153.43</v>
      </c>
    </row>
    <row r="158" spans="1:2" x14ac:dyDescent="0.25">
      <c r="A158" s="4" t="s">
        <v>38</v>
      </c>
      <c r="B158" s="1">
        <v>-6735.1</v>
      </c>
    </row>
    <row r="159" spans="1:2" x14ac:dyDescent="0.25">
      <c r="A159" s="4" t="s">
        <v>20</v>
      </c>
      <c r="B159" s="1">
        <v>2827.79</v>
      </c>
    </row>
    <row r="160" spans="1:2" x14ac:dyDescent="0.25">
      <c r="A160" s="3">
        <v>1998</v>
      </c>
      <c r="B160" s="1">
        <v>7785.6100000000006</v>
      </c>
    </row>
    <row r="161" spans="1:2" x14ac:dyDescent="0.25">
      <c r="A161" s="4" t="s">
        <v>10</v>
      </c>
      <c r="B161" s="1">
        <v>-943.82</v>
      </c>
    </row>
    <row r="162" spans="1:2" x14ac:dyDescent="0.25">
      <c r="A162" s="4" t="s">
        <v>23</v>
      </c>
      <c r="B162" s="1">
        <v>1263.54</v>
      </c>
    </row>
    <row r="163" spans="1:2" x14ac:dyDescent="0.25">
      <c r="A163" s="4" t="s">
        <v>33</v>
      </c>
      <c r="B163" s="1">
        <v>2751.14</v>
      </c>
    </row>
    <row r="164" spans="1:2" x14ac:dyDescent="0.25">
      <c r="A164" s="4" t="s">
        <v>36</v>
      </c>
      <c r="B164" s="1">
        <v>14.04</v>
      </c>
    </row>
    <row r="165" spans="1:2" x14ac:dyDescent="0.25">
      <c r="A165" s="4" t="s">
        <v>28</v>
      </c>
      <c r="B165" s="1">
        <v>2747.73</v>
      </c>
    </row>
    <row r="166" spans="1:2" x14ac:dyDescent="0.25">
      <c r="A166" s="4" t="s">
        <v>25</v>
      </c>
      <c r="B166" s="1">
        <v>4241.05</v>
      </c>
    </row>
    <row r="167" spans="1:2" x14ac:dyDescent="0.25">
      <c r="A167" s="4" t="s">
        <v>34</v>
      </c>
      <c r="B167" s="1">
        <v>-400.32</v>
      </c>
    </row>
    <row r="168" spans="1:2" x14ac:dyDescent="0.25">
      <c r="A168" s="4" t="s">
        <v>39</v>
      </c>
      <c r="B168" s="1">
        <v>-1887.75</v>
      </c>
    </row>
    <row r="169" spans="1:2" x14ac:dyDescent="0.25">
      <c r="A169" s="3">
        <v>1999</v>
      </c>
      <c r="B169" s="1">
        <v>5939.8499999999985</v>
      </c>
    </row>
    <row r="170" spans="1:2" x14ac:dyDescent="0.25">
      <c r="A170" s="4" t="s">
        <v>41</v>
      </c>
      <c r="B170" s="1">
        <v>-909.84</v>
      </c>
    </row>
    <row r="171" spans="1:2" x14ac:dyDescent="0.25">
      <c r="A171" s="4" t="s">
        <v>10</v>
      </c>
      <c r="B171" s="1">
        <v>-624.65</v>
      </c>
    </row>
    <row r="172" spans="1:2" x14ac:dyDescent="0.25">
      <c r="A172" s="4" t="s">
        <v>23</v>
      </c>
      <c r="B172" s="1">
        <v>1723.68</v>
      </c>
    </row>
    <row r="173" spans="1:2" x14ac:dyDescent="0.25">
      <c r="A173" s="4" t="s">
        <v>36</v>
      </c>
      <c r="B173" s="1">
        <v>-150.1</v>
      </c>
    </row>
    <row r="174" spans="1:2" x14ac:dyDescent="0.25">
      <c r="A174" s="4" t="s">
        <v>28</v>
      </c>
      <c r="B174" s="1">
        <v>4729.8999999999996</v>
      </c>
    </row>
    <row r="175" spans="1:2" x14ac:dyDescent="0.25">
      <c r="A175" s="4" t="s">
        <v>25</v>
      </c>
      <c r="B175" s="1">
        <v>-311.81</v>
      </c>
    </row>
    <row r="176" spans="1:2" x14ac:dyDescent="0.25">
      <c r="A176" s="4" t="s">
        <v>16</v>
      </c>
      <c r="B176" s="1">
        <v>1166.94</v>
      </c>
    </row>
    <row r="177" spans="1:2" x14ac:dyDescent="0.25">
      <c r="A177" s="4" t="s">
        <v>39</v>
      </c>
      <c r="B177" s="1">
        <v>315.73</v>
      </c>
    </row>
    <row r="178" spans="1:2" x14ac:dyDescent="0.25">
      <c r="A178" s="3">
        <v>2000</v>
      </c>
      <c r="B178" s="1">
        <v>-2977.7200000000003</v>
      </c>
    </row>
    <row r="179" spans="1:2" x14ac:dyDescent="0.25">
      <c r="A179" s="4" t="s">
        <v>10</v>
      </c>
      <c r="B179" s="1">
        <v>-5071.7299999999996</v>
      </c>
    </row>
    <row r="180" spans="1:2" x14ac:dyDescent="0.25">
      <c r="A180" s="4" t="s">
        <v>32</v>
      </c>
      <c r="B180" s="1">
        <v>-2534.25</v>
      </c>
    </row>
    <row r="181" spans="1:2" x14ac:dyDescent="0.25">
      <c r="A181" s="4" t="s">
        <v>25</v>
      </c>
      <c r="B181" s="1">
        <v>464.88</v>
      </c>
    </row>
    <row r="182" spans="1:2" x14ac:dyDescent="0.25">
      <c r="A182" s="4" t="s">
        <v>16</v>
      </c>
      <c r="B182" s="1">
        <v>-2002.47</v>
      </c>
    </row>
    <row r="183" spans="1:2" x14ac:dyDescent="0.25">
      <c r="A183" s="4" t="s">
        <v>19</v>
      </c>
      <c r="B183" s="1">
        <v>4994.96</v>
      </c>
    </row>
    <row r="184" spans="1:2" x14ac:dyDescent="0.25">
      <c r="A184" s="4" t="s">
        <v>38</v>
      </c>
      <c r="B184" s="1">
        <v>4493.9399999999996</v>
      </c>
    </row>
    <row r="185" spans="1:2" x14ac:dyDescent="0.25">
      <c r="A185" s="4" t="s">
        <v>20</v>
      </c>
      <c r="B185" s="1">
        <v>-53.46</v>
      </c>
    </row>
    <row r="186" spans="1:2" x14ac:dyDescent="0.25">
      <c r="A186" s="4" t="s">
        <v>31</v>
      </c>
      <c r="B186" s="1">
        <v>-3269.59</v>
      </c>
    </row>
    <row r="187" spans="1:2" x14ac:dyDescent="0.25">
      <c r="A187" s="3">
        <v>2001</v>
      </c>
      <c r="B187" s="1">
        <v>-6711.33</v>
      </c>
    </row>
    <row r="188" spans="1:2" x14ac:dyDescent="0.25">
      <c r="A188" s="4" t="s">
        <v>41</v>
      </c>
      <c r="B188" s="1">
        <v>5717.95</v>
      </c>
    </row>
    <row r="189" spans="1:2" x14ac:dyDescent="0.25">
      <c r="A189" s="4" t="s">
        <v>10</v>
      </c>
      <c r="B189" s="1">
        <v>-2716.17</v>
      </c>
    </row>
    <row r="190" spans="1:2" x14ac:dyDescent="0.25">
      <c r="A190" s="4" t="s">
        <v>36</v>
      </c>
      <c r="B190" s="1">
        <v>-7411.91</v>
      </c>
    </row>
    <row r="191" spans="1:2" x14ac:dyDescent="0.25">
      <c r="A191" s="4" t="s">
        <v>28</v>
      </c>
      <c r="B191" s="1">
        <v>-4863.21</v>
      </c>
    </row>
    <row r="192" spans="1:2" x14ac:dyDescent="0.25">
      <c r="A192" s="4" t="s">
        <v>25</v>
      </c>
      <c r="B192" s="1">
        <v>2512</v>
      </c>
    </row>
    <row r="193" spans="1:2" x14ac:dyDescent="0.25">
      <c r="A193" s="4" t="s">
        <v>19</v>
      </c>
      <c r="B193" s="1">
        <v>448.63</v>
      </c>
    </row>
    <row r="194" spans="1:2" x14ac:dyDescent="0.25">
      <c r="A194" s="4" t="s">
        <v>38</v>
      </c>
      <c r="B194" s="1">
        <v>340.89</v>
      </c>
    </row>
    <row r="195" spans="1:2" x14ac:dyDescent="0.25">
      <c r="A195" s="4" t="s">
        <v>31</v>
      </c>
      <c r="B195" s="1">
        <v>-739.51</v>
      </c>
    </row>
    <row r="196" spans="1:2" x14ac:dyDescent="0.25">
      <c r="A196" s="3">
        <v>2002</v>
      </c>
      <c r="B196" s="1">
        <v>129.5300000000002</v>
      </c>
    </row>
    <row r="197" spans="1:2" x14ac:dyDescent="0.25">
      <c r="A197" s="4" t="s">
        <v>42</v>
      </c>
      <c r="B197" s="1">
        <v>8867.85</v>
      </c>
    </row>
    <row r="198" spans="1:2" x14ac:dyDescent="0.25">
      <c r="A198" s="4" t="s">
        <v>41</v>
      </c>
      <c r="B198" s="1">
        <v>-4857.2</v>
      </c>
    </row>
    <row r="199" spans="1:2" x14ac:dyDescent="0.25">
      <c r="A199" s="4" t="s">
        <v>10</v>
      </c>
      <c r="B199" s="1">
        <v>-2498.77</v>
      </c>
    </row>
    <row r="200" spans="1:2" x14ac:dyDescent="0.25">
      <c r="A200" s="4" t="s">
        <v>15</v>
      </c>
      <c r="B200" s="1">
        <v>267.37</v>
      </c>
    </row>
    <row r="201" spans="1:2" x14ac:dyDescent="0.25">
      <c r="A201" s="4" t="s">
        <v>25</v>
      </c>
      <c r="B201" s="1">
        <v>-1120.1500000000001</v>
      </c>
    </row>
    <row r="202" spans="1:2" x14ac:dyDescent="0.25">
      <c r="A202" s="4" t="s">
        <v>19</v>
      </c>
      <c r="B202" s="1">
        <v>577.53</v>
      </c>
    </row>
    <row r="203" spans="1:2" x14ac:dyDescent="0.25">
      <c r="A203" s="4" t="s">
        <v>20</v>
      </c>
      <c r="B203" s="1">
        <v>144.38</v>
      </c>
    </row>
    <row r="204" spans="1:2" x14ac:dyDescent="0.25">
      <c r="A204" s="4" t="s">
        <v>31</v>
      </c>
      <c r="B204" s="1">
        <v>-1251.48</v>
      </c>
    </row>
    <row r="205" spans="1:2" x14ac:dyDescent="0.25">
      <c r="A205" s="3">
        <v>2003</v>
      </c>
      <c r="B205" s="1">
        <v>11165.970000000001</v>
      </c>
    </row>
    <row r="206" spans="1:2" x14ac:dyDescent="0.25">
      <c r="A206" s="4" t="s">
        <v>10</v>
      </c>
      <c r="B206" s="1">
        <v>-969.37</v>
      </c>
    </row>
    <row r="207" spans="1:2" x14ac:dyDescent="0.25">
      <c r="A207" s="4" t="s">
        <v>23</v>
      </c>
      <c r="B207" s="1">
        <v>1396.77</v>
      </c>
    </row>
    <row r="208" spans="1:2" x14ac:dyDescent="0.25">
      <c r="A208" s="4" t="s">
        <v>33</v>
      </c>
      <c r="B208" s="1">
        <v>2084.73</v>
      </c>
    </row>
    <row r="209" spans="1:2" x14ac:dyDescent="0.25">
      <c r="A209" s="4" t="s">
        <v>40</v>
      </c>
      <c r="B209" s="1">
        <v>5449.75</v>
      </c>
    </row>
    <row r="210" spans="1:2" x14ac:dyDescent="0.25">
      <c r="A210" s="4" t="s">
        <v>15</v>
      </c>
      <c r="B210" s="1">
        <v>-426.19</v>
      </c>
    </row>
    <row r="211" spans="1:2" x14ac:dyDescent="0.25">
      <c r="A211" s="4" t="s">
        <v>25</v>
      </c>
      <c r="B211" s="1">
        <v>4406.1000000000004</v>
      </c>
    </row>
    <row r="212" spans="1:2" x14ac:dyDescent="0.25">
      <c r="A212" s="4" t="s">
        <v>19</v>
      </c>
      <c r="B212" s="1">
        <v>-186.17</v>
      </c>
    </row>
    <row r="213" spans="1:2" x14ac:dyDescent="0.25">
      <c r="A213" s="4" t="s">
        <v>20</v>
      </c>
      <c r="B213" s="1">
        <v>-589.65</v>
      </c>
    </row>
    <row r="214" spans="1:2" x14ac:dyDescent="0.25">
      <c r="A214" s="3">
        <v>2004</v>
      </c>
      <c r="B214" s="1">
        <v>12018.45</v>
      </c>
    </row>
    <row r="215" spans="1:2" x14ac:dyDescent="0.25">
      <c r="A215" s="4" t="s">
        <v>10</v>
      </c>
      <c r="B215" s="1">
        <v>2456.41</v>
      </c>
    </row>
    <row r="216" spans="1:2" x14ac:dyDescent="0.25">
      <c r="A216" s="4" t="s">
        <v>23</v>
      </c>
      <c r="B216" s="1">
        <v>129.56</v>
      </c>
    </row>
    <row r="217" spans="1:2" x14ac:dyDescent="0.25">
      <c r="A217" s="4" t="s">
        <v>28</v>
      </c>
      <c r="B217" s="1">
        <v>-3495.21</v>
      </c>
    </row>
    <row r="218" spans="1:2" x14ac:dyDescent="0.25">
      <c r="A218" s="4" t="s">
        <v>22</v>
      </c>
      <c r="B218" s="1">
        <v>1424.66</v>
      </c>
    </row>
    <row r="219" spans="1:2" x14ac:dyDescent="0.25">
      <c r="A219" s="4" t="s">
        <v>15</v>
      </c>
      <c r="B219" s="1">
        <v>1515.47</v>
      </c>
    </row>
    <row r="220" spans="1:2" x14ac:dyDescent="0.25">
      <c r="A220" s="4" t="s">
        <v>25</v>
      </c>
      <c r="B220" s="1">
        <v>3890.72</v>
      </c>
    </row>
    <row r="221" spans="1:2" x14ac:dyDescent="0.25">
      <c r="A221" s="4" t="s">
        <v>31</v>
      </c>
      <c r="B221" s="1">
        <v>6096.84</v>
      </c>
    </row>
    <row r="222" spans="1:2" x14ac:dyDescent="0.25">
      <c r="A222" s="3">
        <v>2005</v>
      </c>
      <c r="B222" s="1">
        <v>9883.99</v>
      </c>
    </row>
    <row r="223" spans="1:2" x14ac:dyDescent="0.25">
      <c r="A223" s="4" t="s">
        <v>10</v>
      </c>
      <c r="B223" s="1">
        <v>345.55</v>
      </c>
    </row>
    <row r="224" spans="1:2" x14ac:dyDescent="0.25">
      <c r="A224" s="4" t="s">
        <v>23</v>
      </c>
      <c r="B224" s="1">
        <v>1024.32</v>
      </c>
    </row>
    <row r="225" spans="1:2" x14ac:dyDescent="0.25">
      <c r="A225" s="4" t="s">
        <v>32</v>
      </c>
      <c r="B225" s="1">
        <v>7587.4</v>
      </c>
    </row>
    <row r="226" spans="1:2" x14ac:dyDescent="0.25">
      <c r="A226" s="4" t="s">
        <v>28</v>
      </c>
      <c r="B226" s="1">
        <v>2691.39</v>
      </c>
    </row>
    <row r="227" spans="1:2" x14ac:dyDescent="0.25">
      <c r="A227" s="4" t="s">
        <v>43</v>
      </c>
      <c r="B227" s="1">
        <v>26.6</v>
      </c>
    </row>
    <row r="228" spans="1:2" x14ac:dyDescent="0.25">
      <c r="A228" s="4" t="s">
        <v>25</v>
      </c>
      <c r="B228" s="1">
        <v>1944.94</v>
      </c>
    </row>
    <row r="229" spans="1:2" x14ac:dyDescent="0.25">
      <c r="A229" s="4" t="s">
        <v>34</v>
      </c>
      <c r="B229" s="1">
        <v>-2593.27</v>
      </c>
    </row>
    <row r="230" spans="1:2" x14ac:dyDescent="0.25">
      <c r="A230" s="4" t="s">
        <v>31</v>
      </c>
      <c r="B230" s="1">
        <v>-1142.94</v>
      </c>
    </row>
    <row r="231" spans="1:2" x14ac:dyDescent="0.25">
      <c r="A231" s="3">
        <v>2006</v>
      </c>
      <c r="B231" s="1">
        <v>15367.01</v>
      </c>
    </row>
    <row r="232" spans="1:2" x14ac:dyDescent="0.25">
      <c r="A232" s="4" t="s">
        <v>21</v>
      </c>
      <c r="B232" s="1">
        <v>5570.21</v>
      </c>
    </row>
    <row r="233" spans="1:2" x14ac:dyDescent="0.25">
      <c r="A233" s="4" t="s">
        <v>22</v>
      </c>
      <c r="B233" s="1">
        <v>1213.97</v>
      </c>
    </row>
    <row r="234" spans="1:2" x14ac:dyDescent="0.25">
      <c r="A234" s="4" t="s">
        <v>15</v>
      </c>
      <c r="B234" s="1">
        <v>140.31</v>
      </c>
    </row>
    <row r="235" spans="1:2" x14ac:dyDescent="0.25">
      <c r="A235" s="4" t="s">
        <v>25</v>
      </c>
      <c r="B235" s="1">
        <v>294.89999999999998</v>
      </c>
    </row>
    <row r="236" spans="1:2" x14ac:dyDescent="0.25">
      <c r="A236" s="4" t="s">
        <v>16</v>
      </c>
      <c r="B236" s="1">
        <v>5949.5</v>
      </c>
    </row>
    <row r="237" spans="1:2" x14ac:dyDescent="0.25">
      <c r="A237" s="4" t="s">
        <v>19</v>
      </c>
      <c r="B237" s="1">
        <v>-676.31</v>
      </c>
    </row>
    <row r="238" spans="1:2" x14ac:dyDescent="0.25">
      <c r="A238" s="4" t="s">
        <v>34</v>
      </c>
      <c r="B238" s="1">
        <v>1609.16</v>
      </c>
    </row>
    <row r="239" spans="1:2" x14ac:dyDescent="0.25">
      <c r="A239" s="4" t="s">
        <v>31</v>
      </c>
      <c r="B239" s="1">
        <v>1265.27</v>
      </c>
    </row>
    <row r="240" spans="1:2" x14ac:dyDescent="0.25">
      <c r="A240" s="3">
        <v>2007</v>
      </c>
      <c r="B240" s="1">
        <v>9861.65</v>
      </c>
    </row>
    <row r="241" spans="1:2" x14ac:dyDescent="0.25">
      <c r="A241" s="4" t="s">
        <v>41</v>
      </c>
      <c r="B241" s="1">
        <v>2387.87</v>
      </c>
    </row>
    <row r="242" spans="1:2" x14ac:dyDescent="0.25">
      <c r="A242" s="4" t="s">
        <v>23</v>
      </c>
      <c r="B242" s="1">
        <v>956.73</v>
      </c>
    </row>
    <row r="243" spans="1:2" x14ac:dyDescent="0.25">
      <c r="A243" s="4" t="s">
        <v>33</v>
      </c>
      <c r="B243" s="1">
        <v>584.91999999999996</v>
      </c>
    </row>
    <row r="244" spans="1:2" x14ac:dyDescent="0.25">
      <c r="A244" s="4" t="s">
        <v>36</v>
      </c>
      <c r="B244" s="1">
        <v>-1661.73</v>
      </c>
    </row>
    <row r="245" spans="1:2" x14ac:dyDescent="0.25">
      <c r="A245" s="4" t="s">
        <v>37</v>
      </c>
      <c r="B245" s="1">
        <v>3740.08</v>
      </c>
    </row>
    <row r="246" spans="1:2" x14ac:dyDescent="0.25">
      <c r="A246" s="4" t="s">
        <v>43</v>
      </c>
      <c r="B246" s="1">
        <v>-356.6</v>
      </c>
    </row>
    <row r="247" spans="1:2" x14ac:dyDescent="0.25">
      <c r="A247" s="4" t="s">
        <v>25</v>
      </c>
      <c r="B247" s="1">
        <v>330.71</v>
      </c>
    </row>
    <row r="248" spans="1:2" x14ac:dyDescent="0.25">
      <c r="A248" s="4" t="s">
        <v>26</v>
      </c>
      <c r="B248" s="1">
        <v>3879.67</v>
      </c>
    </row>
    <row r="249" spans="1:2" x14ac:dyDescent="0.25">
      <c r="A249" s="3">
        <v>2008</v>
      </c>
      <c r="B249" s="1">
        <v>-1468.8400000000001</v>
      </c>
    </row>
    <row r="250" spans="1:2" x14ac:dyDescent="0.25">
      <c r="A250" s="4" t="s">
        <v>23</v>
      </c>
      <c r="B250" s="1">
        <v>178.38</v>
      </c>
    </row>
    <row r="251" spans="1:2" x14ac:dyDescent="0.25">
      <c r="A251" s="4" t="s">
        <v>32</v>
      </c>
      <c r="B251" s="1">
        <v>-2301.7199999999998</v>
      </c>
    </row>
    <row r="252" spans="1:2" x14ac:dyDescent="0.25">
      <c r="A252" s="4" t="s">
        <v>33</v>
      </c>
      <c r="B252" s="1">
        <v>-1128.03</v>
      </c>
    </row>
    <row r="253" spans="1:2" x14ac:dyDescent="0.25">
      <c r="A253" s="4" t="s">
        <v>43</v>
      </c>
      <c r="B253" s="1">
        <v>-1189.6400000000001</v>
      </c>
    </row>
    <row r="254" spans="1:2" x14ac:dyDescent="0.25">
      <c r="A254" s="4" t="s">
        <v>22</v>
      </c>
      <c r="B254" s="1">
        <v>384.15</v>
      </c>
    </row>
    <row r="255" spans="1:2" x14ac:dyDescent="0.25">
      <c r="A255" s="4" t="s">
        <v>44</v>
      </c>
      <c r="B255" s="1">
        <v>-388.35</v>
      </c>
    </row>
    <row r="256" spans="1:2" x14ac:dyDescent="0.25">
      <c r="A256" s="4" t="s">
        <v>26</v>
      </c>
      <c r="B256" s="1">
        <v>2198.89</v>
      </c>
    </row>
    <row r="257" spans="1:2" x14ac:dyDescent="0.25">
      <c r="A257" s="4" t="s">
        <v>45</v>
      </c>
      <c r="B257" s="1">
        <v>777.48</v>
      </c>
    </row>
    <row r="258" spans="1:2" x14ac:dyDescent="0.25">
      <c r="A258" s="3">
        <v>2009</v>
      </c>
      <c r="B258" s="1">
        <v>11021.82</v>
      </c>
    </row>
    <row r="259" spans="1:2" x14ac:dyDescent="0.25">
      <c r="A259" s="4" t="s">
        <v>23</v>
      </c>
      <c r="B259" s="1">
        <v>-200.67</v>
      </c>
    </row>
    <row r="260" spans="1:2" x14ac:dyDescent="0.25">
      <c r="A260" s="4" t="s">
        <v>37</v>
      </c>
      <c r="B260" s="1">
        <v>2594.63</v>
      </c>
    </row>
    <row r="261" spans="1:2" x14ac:dyDescent="0.25">
      <c r="A261" s="4" t="s">
        <v>43</v>
      </c>
      <c r="B261" s="1">
        <v>128</v>
      </c>
    </row>
    <row r="262" spans="1:2" x14ac:dyDescent="0.25">
      <c r="A262" s="4" t="s">
        <v>22</v>
      </c>
      <c r="B262" s="1">
        <v>-2461.13</v>
      </c>
    </row>
    <row r="263" spans="1:2" x14ac:dyDescent="0.25">
      <c r="A263" s="4" t="s">
        <v>15</v>
      </c>
      <c r="B263" s="1">
        <v>10331.719999999999</v>
      </c>
    </row>
    <row r="264" spans="1:2" x14ac:dyDescent="0.25">
      <c r="A264" s="4" t="s">
        <v>25</v>
      </c>
      <c r="B264" s="1">
        <v>573.44000000000005</v>
      </c>
    </row>
    <row r="265" spans="1:2" x14ac:dyDescent="0.25">
      <c r="A265" s="4" t="s">
        <v>26</v>
      </c>
      <c r="B265" s="1">
        <v>574.77</v>
      </c>
    </row>
    <row r="266" spans="1:2" x14ac:dyDescent="0.25">
      <c r="A266" s="4" t="s">
        <v>31</v>
      </c>
      <c r="B266" s="1">
        <v>-518.94000000000005</v>
      </c>
    </row>
    <row r="267" spans="1:2" x14ac:dyDescent="0.25">
      <c r="A267" s="3">
        <v>2010</v>
      </c>
      <c r="B267" s="1">
        <v>4168.83</v>
      </c>
    </row>
    <row r="268" spans="1:2" x14ac:dyDescent="0.25">
      <c r="A268" s="4" t="s">
        <v>10</v>
      </c>
      <c r="B268" s="1">
        <v>-1693.59</v>
      </c>
    </row>
    <row r="269" spans="1:2" x14ac:dyDescent="0.25">
      <c r="A269" s="4" t="s">
        <v>17</v>
      </c>
      <c r="B269" s="1">
        <v>1889.36</v>
      </c>
    </row>
    <row r="270" spans="1:2" x14ac:dyDescent="0.25">
      <c r="A270" s="4" t="s">
        <v>15</v>
      </c>
      <c r="B270" s="1">
        <v>-685.48</v>
      </c>
    </row>
    <row r="271" spans="1:2" x14ac:dyDescent="0.25">
      <c r="A271" s="4" t="s">
        <v>25</v>
      </c>
      <c r="B271" s="1">
        <v>-1384.28</v>
      </c>
    </row>
    <row r="272" spans="1:2" x14ac:dyDescent="0.25">
      <c r="A272" s="4" t="s">
        <v>26</v>
      </c>
      <c r="B272" s="1">
        <v>413.19</v>
      </c>
    </row>
    <row r="273" spans="1:2" x14ac:dyDescent="0.25">
      <c r="A273" s="4" t="s">
        <v>20</v>
      </c>
      <c r="B273" s="1">
        <v>4321.4399999999996</v>
      </c>
    </row>
    <row r="274" spans="1:2" x14ac:dyDescent="0.25">
      <c r="A274" s="4" t="s">
        <v>45</v>
      </c>
      <c r="B274" s="1">
        <v>-4145.8599999999997</v>
      </c>
    </row>
    <row r="275" spans="1:2" x14ac:dyDescent="0.25">
      <c r="A275" s="4" t="s">
        <v>39</v>
      </c>
      <c r="B275" s="1">
        <v>5454.05</v>
      </c>
    </row>
    <row r="276" spans="1:2" x14ac:dyDescent="0.25">
      <c r="A276" s="3">
        <v>2011</v>
      </c>
      <c r="B276" s="1">
        <v>8690</v>
      </c>
    </row>
    <row r="277" spans="1:2" x14ac:dyDescent="0.25">
      <c r="A277" s="4" t="s">
        <v>41</v>
      </c>
      <c r="B277" s="1">
        <v>891.17</v>
      </c>
    </row>
    <row r="278" spans="1:2" x14ac:dyDescent="0.25">
      <c r="A278" s="4" t="s">
        <v>21</v>
      </c>
      <c r="B278" s="1">
        <v>4765.28</v>
      </c>
    </row>
    <row r="279" spans="1:2" x14ac:dyDescent="0.25">
      <c r="A279" s="4" t="s">
        <v>44</v>
      </c>
      <c r="B279" s="1">
        <v>-2962.82</v>
      </c>
    </row>
    <row r="280" spans="1:2" x14ac:dyDescent="0.25">
      <c r="A280" s="4" t="s">
        <v>25</v>
      </c>
      <c r="B280" s="1">
        <v>-1373.75</v>
      </c>
    </row>
    <row r="281" spans="1:2" x14ac:dyDescent="0.25">
      <c r="A281" s="4" t="s">
        <v>26</v>
      </c>
      <c r="B281" s="1">
        <v>-1419.75</v>
      </c>
    </row>
    <row r="282" spans="1:2" x14ac:dyDescent="0.25">
      <c r="A282" s="4" t="s">
        <v>31</v>
      </c>
      <c r="B282" s="1">
        <v>2075.9899999999998</v>
      </c>
    </row>
    <row r="283" spans="1:2" x14ac:dyDescent="0.25">
      <c r="A283" s="4" t="s">
        <v>45</v>
      </c>
      <c r="B283" s="1">
        <v>376.46</v>
      </c>
    </row>
    <row r="284" spans="1:2" x14ac:dyDescent="0.25">
      <c r="A284" s="4" t="s">
        <v>39</v>
      </c>
      <c r="B284" s="1">
        <v>6337.42</v>
      </c>
    </row>
    <row r="285" spans="1:2" x14ac:dyDescent="0.25">
      <c r="A285" s="3">
        <v>2012</v>
      </c>
      <c r="B285" s="1">
        <v>6318.16</v>
      </c>
    </row>
    <row r="286" spans="1:2" x14ac:dyDescent="0.25">
      <c r="A286" s="4" t="s">
        <v>10</v>
      </c>
      <c r="B286" s="1">
        <v>1586.52</v>
      </c>
    </row>
    <row r="287" spans="1:2" x14ac:dyDescent="0.25">
      <c r="A287" s="4" t="s">
        <v>14</v>
      </c>
      <c r="B287" s="1">
        <v>3152.11</v>
      </c>
    </row>
    <row r="288" spans="1:2" x14ac:dyDescent="0.25">
      <c r="A288" s="4" t="s">
        <v>17</v>
      </c>
      <c r="B288" s="1">
        <v>2310.61</v>
      </c>
    </row>
    <row r="289" spans="1:2" x14ac:dyDescent="0.25">
      <c r="A289" s="4" t="s">
        <v>21</v>
      </c>
      <c r="B289" s="1">
        <v>683.51</v>
      </c>
    </row>
    <row r="290" spans="1:2" x14ac:dyDescent="0.25">
      <c r="A290" s="4" t="s">
        <v>25</v>
      </c>
      <c r="B290" s="1">
        <v>-3244.66</v>
      </c>
    </row>
    <row r="291" spans="1:2" x14ac:dyDescent="0.25">
      <c r="A291" s="4" t="s">
        <v>19</v>
      </c>
      <c r="B291" s="1">
        <v>1608.5</v>
      </c>
    </row>
    <row r="292" spans="1:2" x14ac:dyDescent="0.25">
      <c r="A292" s="4" t="s">
        <v>20</v>
      </c>
      <c r="B292" s="1">
        <v>-624.38</v>
      </c>
    </row>
    <row r="293" spans="1:2" x14ac:dyDescent="0.25">
      <c r="A293" s="4" t="s">
        <v>31</v>
      </c>
      <c r="B293" s="1">
        <v>1329.14</v>
      </c>
    </row>
    <row r="294" spans="1:2" x14ac:dyDescent="0.25">
      <c r="A294" s="4" t="s">
        <v>39</v>
      </c>
      <c r="B294" s="1">
        <v>-3960.08</v>
      </c>
    </row>
    <row r="295" spans="1:2" x14ac:dyDescent="0.25">
      <c r="A295" s="4" t="s">
        <v>46</v>
      </c>
      <c r="B295" s="1">
        <v>3476.89</v>
      </c>
    </row>
    <row r="296" spans="1:2" x14ac:dyDescent="0.25">
      <c r="A296" s="3">
        <v>2013</v>
      </c>
      <c r="B296" s="1">
        <v>1170.3400000000015</v>
      </c>
    </row>
    <row r="297" spans="1:2" x14ac:dyDescent="0.25">
      <c r="A297" s="4" t="s">
        <v>10</v>
      </c>
      <c r="B297" s="1">
        <v>-2399.6799999999998</v>
      </c>
    </row>
    <row r="298" spans="1:2" x14ac:dyDescent="0.25">
      <c r="A298" s="4" t="s">
        <v>23</v>
      </c>
      <c r="B298" s="1">
        <v>1515.51</v>
      </c>
    </row>
    <row r="299" spans="1:2" x14ac:dyDescent="0.25">
      <c r="A299" s="4" t="s">
        <v>17</v>
      </c>
      <c r="B299" s="1">
        <v>-712.92</v>
      </c>
    </row>
    <row r="300" spans="1:2" x14ac:dyDescent="0.25">
      <c r="A300" s="4" t="s">
        <v>36</v>
      </c>
      <c r="B300" s="1">
        <v>-1673.25</v>
      </c>
    </row>
    <row r="301" spans="1:2" x14ac:dyDescent="0.25">
      <c r="A301" s="4" t="s">
        <v>21</v>
      </c>
      <c r="B301" s="1">
        <v>-2051.6999999999998</v>
      </c>
    </row>
    <row r="302" spans="1:2" x14ac:dyDescent="0.25">
      <c r="A302" s="4" t="s">
        <v>22</v>
      </c>
      <c r="B302" s="1">
        <v>479.14</v>
      </c>
    </row>
    <row r="303" spans="1:2" x14ac:dyDescent="0.25">
      <c r="A303" s="4" t="s">
        <v>19</v>
      </c>
      <c r="B303" s="1">
        <v>2399.09</v>
      </c>
    </row>
    <row r="304" spans="1:2" x14ac:dyDescent="0.25">
      <c r="A304" s="4" t="s">
        <v>18</v>
      </c>
      <c r="B304" s="1">
        <v>2292.62</v>
      </c>
    </row>
    <row r="305" spans="1:2" x14ac:dyDescent="0.25">
      <c r="A305" s="4" t="s">
        <v>31</v>
      </c>
      <c r="B305" s="1">
        <v>2109.63</v>
      </c>
    </row>
    <row r="306" spans="1:2" x14ac:dyDescent="0.25">
      <c r="A306" s="4" t="s">
        <v>45</v>
      </c>
      <c r="B306" s="1">
        <v>-788.1</v>
      </c>
    </row>
    <row r="307" spans="1:2" x14ac:dyDescent="0.25">
      <c r="A307" s="3">
        <v>2014</v>
      </c>
      <c r="B307" s="1">
        <v>2034.4000000000005</v>
      </c>
    </row>
    <row r="308" spans="1:2" x14ac:dyDescent="0.25">
      <c r="A308" s="4" t="s">
        <v>14</v>
      </c>
      <c r="B308" s="1">
        <v>-1776.36</v>
      </c>
    </row>
    <row r="309" spans="1:2" x14ac:dyDescent="0.25">
      <c r="A309" s="4" t="s">
        <v>21</v>
      </c>
      <c r="B309" s="1">
        <v>-2360.02</v>
      </c>
    </row>
    <row r="310" spans="1:2" x14ac:dyDescent="0.25">
      <c r="A310" s="4" t="s">
        <v>24</v>
      </c>
      <c r="B310" s="1">
        <v>9284.7800000000007</v>
      </c>
    </row>
    <row r="311" spans="1:2" x14ac:dyDescent="0.25">
      <c r="A311" s="4" t="s">
        <v>43</v>
      </c>
      <c r="B311" s="1">
        <v>-1026.79</v>
      </c>
    </row>
    <row r="312" spans="1:2" x14ac:dyDescent="0.25">
      <c r="A312" s="4" t="s">
        <v>22</v>
      </c>
      <c r="B312" s="1">
        <v>-216.32</v>
      </c>
    </row>
    <row r="313" spans="1:2" x14ac:dyDescent="0.25">
      <c r="A313" s="4" t="s">
        <v>19</v>
      </c>
      <c r="B313" s="1">
        <v>-2906.83</v>
      </c>
    </row>
    <row r="314" spans="1:2" x14ac:dyDescent="0.25">
      <c r="A314" s="4" t="s">
        <v>18</v>
      </c>
      <c r="B314" s="1">
        <v>691.75</v>
      </c>
    </row>
    <row r="315" spans="1:2" x14ac:dyDescent="0.25">
      <c r="A315" s="4" t="s">
        <v>20</v>
      </c>
      <c r="B315" s="1">
        <v>88.71</v>
      </c>
    </row>
    <row r="316" spans="1:2" x14ac:dyDescent="0.25">
      <c r="A316" s="4" t="s">
        <v>31</v>
      </c>
      <c r="B316" s="1">
        <v>-243.95</v>
      </c>
    </row>
    <row r="317" spans="1:2" x14ac:dyDescent="0.25">
      <c r="A317" s="4" t="s">
        <v>46</v>
      </c>
      <c r="B317" s="1">
        <v>499.43</v>
      </c>
    </row>
    <row r="318" spans="1:2" x14ac:dyDescent="0.25">
      <c r="A318" s="3">
        <v>2015</v>
      </c>
      <c r="B318" s="1">
        <v>10288.82</v>
      </c>
    </row>
    <row r="319" spans="1:2" x14ac:dyDescent="0.25">
      <c r="A319" s="4" t="s">
        <v>33</v>
      </c>
      <c r="B319" s="1">
        <v>3867.88</v>
      </c>
    </row>
    <row r="320" spans="1:2" x14ac:dyDescent="0.25">
      <c r="A320" s="4" t="s">
        <v>28</v>
      </c>
      <c r="B320" s="1">
        <v>1889.36</v>
      </c>
    </row>
    <row r="321" spans="1:2" x14ac:dyDescent="0.25">
      <c r="A321" s="4" t="s">
        <v>24</v>
      </c>
      <c r="B321" s="1">
        <v>-1862.19</v>
      </c>
    </row>
    <row r="322" spans="1:2" x14ac:dyDescent="0.25">
      <c r="A322" s="4" t="s">
        <v>22</v>
      </c>
      <c r="B322" s="1">
        <v>-759.3</v>
      </c>
    </row>
    <row r="323" spans="1:2" x14ac:dyDescent="0.25">
      <c r="A323" s="4" t="s">
        <v>25</v>
      </c>
      <c r="B323" s="1">
        <v>-1609.76</v>
      </c>
    </row>
    <row r="324" spans="1:2" x14ac:dyDescent="0.25">
      <c r="A324" s="4" t="s">
        <v>16</v>
      </c>
      <c r="B324" s="1">
        <v>2714.18</v>
      </c>
    </row>
    <row r="325" spans="1:2" x14ac:dyDescent="0.25">
      <c r="A325" s="4" t="s">
        <v>18</v>
      </c>
      <c r="B325" s="1">
        <v>-3078.95</v>
      </c>
    </row>
    <row r="326" spans="1:2" x14ac:dyDescent="0.25">
      <c r="A326" s="4" t="s">
        <v>31</v>
      </c>
      <c r="B326" s="1">
        <v>-943.2</v>
      </c>
    </row>
    <row r="327" spans="1:2" x14ac:dyDescent="0.25">
      <c r="A327" s="4" t="s">
        <v>39</v>
      </c>
      <c r="B327" s="1">
        <v>2697.86</v>
      </c>
    </row>
    <row r="328" spans="1:2" x14ac:dyDescent="0.25">
      <c r="A328" s="4" t="s">
        <v>35</v>
      </c>
      <c r="B328" s="1">
        <v>7372.94</v>
      </c>
    </row>
    <row r="329" spans="1:2" x14ac:dyDescent="0.25">
      <c r="A329" s="3" t="s">
        <v>54</v>
      </c>
      <c r="B329" s="1">
        <v>152847.05999999997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1327CFE-DC0D-4C03-B33C-D5485D245D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attendance_after_making_playoff</vt:lpstr>
      <vt:lpstr>playoff_appearances_by_team</vt:lpstr>
      <vt:lpstr>yearly_growth_per_team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Hosfeld, Sydney</dc:creator>
  <cp:lastModifiedBy>Hosfeld, Sydney</cp:lastModifiedBy>
  <dcterms:created xsi:type="dcterms:W3CDTF">2026-02-17T14:08:08Z</dcterms:created>
  <dcterms:modified xsi:type="dcterms:W3CDTF">2026-02-17T16:55:50Z</dcterms:modified>
</cp:coreProperties>
</file>