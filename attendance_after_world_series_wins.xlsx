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cWork\workspace\SQL\group-projects\newforce-cohort-12-data-lahmanbaseball-Moonshine-Mythmakers\"/>
    </mc:Choice>
  </mc:AlternateContent>
  <xr:revisionPtr revIDLastSave="0" documentId="13_ncr:1_{235134BD-C23D-443D-B884-8C75959142F8}" xr6:coauthVersionLast="47" xr6:coauthVersionMax="47" xr10:uidLastSave="{00000000-0000-0000-0000-000000000000}"/>
  <bookViews>
    <workbookView xWindow="4140" yWindow="1785" windowWidth="31455" windowHeight="18855" xr2:uid="{BC165BF0-E987-476D-8D9B-7BAD8EFDAFE2}"/>
  </bookViews>
  <sheets>
    <sheet name="attendance_after_ws_win" sheetId="2" r:id="rId1"/>
    <sheet name="NYA" sheetId="4" r:id="rId2"/>
    <sheet name="SLN" sheetId="5" r:id="rId3"/>
    <sheet name="NY1" sheetId="6" r:id="rId4"/>
    <sheet name="num_ws_wins" sheetId="3" r:id="rId5"/>
  </sheets>
  <definedNames>
    <definedName name="ExternalData_1" localSheetId="0" hidden="1">attendance_after_ws_win!$A$1:$H$107</definedName>
    <definedName name="ExternalData_1" localSheetId="3" hidden="1">'NY1'!$A$1:$H$107</definedName>
    <definedName name="ExternalData_1" localSheetId="1" hidden="1">NYA!$A$1:$H$107</definedName>
    <definedName name="ExternalData_1" localSheetId="2" hidden="1">SLN!$A$1:$H$107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4"/>
  <c r="K4" i="4"/>
  <c r="K5" i="4"/>
  <c r="K5" i="2"/>
  <c r="K4" i="2"/>
  <c r="K2" i="2"/>
  <c r="K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E53DDA-F54D-4841-90FA-F0855A7B18A0}" keepAlive="1" name="Query - attendance_after_ws_win" description="Connection to the 'attendance_after_ws_win' query in the workbook." type="5" refreshedVersion="8" background="1" saveData="1">
    <dbPr connection="Provider=Microsoft.Mashup.OleDb.1;Data Source=$Workbook$;Location=attendance_after_ws_win;Extended Properties=&quot;&quot;" command="SELECT * FROM [attendance_after_ws_win]"/>
  </connection>
  <connection id="2" xr16:uid="{3D369D09-D89D-4FA7-BBCB-F53034310E72}" keepAlive="1" name="Query - attendance_after_ws_win (2)" description="Connection to the 'attendance_after_ws_win (2)' query in the workbook." type="5" refreshedVersion="8" background="1" saveData="1">
    <dbPr connection="Provider=Microsoft.Mashup.OleDb.1;Data Source=$Workbook$;Location=&quot;attendance_after_ws_win (2)&quot;;Extended Properties=&quot;&quot;" command="SELECT * FROM [attendance_after_ws_win (2)]"/>
  </connection>
  <connection id="3" xr16:uid="{56E17EB1-DFA0-4E9E-BBB1-556430F364F4}" keepAlive="1" name="Query - attendance_after_ws_win (3)" description="Connection to the 'attendance_after_ws_win (3)' query in the workbook." type="5" refreshedVersion="8" background="1" saveData="1">
    <dbPr connection="Provider=Microsoft.Mashup.OleDb.1;Data Source=$Workbook$;Location=&quot;attendance_after_ws_win (3)&quot;;Extended Properties=&quot;&quot;" command="SELECT * FROM [attendance_after_ws_win (3)]"/>
  </connection>
  <connection id="4" xr16:uid="{5FAD3A6F-5068-4DD8-A281-A1DC04D6C777}" keepAlive="1" name="Query - attendance_after_ws_win (4)" description="Connection to the 'attendance_after_ws_win (4)' query in the workbook." type="5" refreshedVersion="8" background="1" saveData="1">
    <dbPr connection="Provider=Microsoft.Mashup.OleDb.1;Data Source=$Workbook$;Location=&quot;attendance_after_ws_win (4)&quot;;Extended Properties=&quot;&quot;" command="SELECT * FROM [attendance_after_ws_win (4)]"/>
  </connection>
</connections>
</file>

<file path=xl/sharedStrings.xml><?xml version="1.0" encoding="utf-8"?>
<sst xmlns="http://schemas.openxmlformats.org/spreadsheetml/2006/main" count="1345" uniqueCount="49">
  <si>
    <t>team</t>
  </si>
  <si>
    <t>win_year</t>
  </si>
  <si>
    <t>wswin</t>
  </si>
  <si>
    <t>ws_win_avg_home_attendance</t>
  </si>
  <si>
    <t>next_year</t>
  </si>
  <si>
    <t>wswin-2</t>
  </si>
  <si>
    <t>next_year_avg_home_attendance</t>
  </si>
  <si>
    <t>attendance_growth</t>
  </si>
  <si>
    <t>SL4</t>
  </si>
  <si>
    <t>Y</t>
  </si>
  <si>
    <t>N</t>
  </si>
  <si>
    <t>DTN</t>
  </si>
  <si>
    <t>NY1</t>
  </si>
  <si>
    <t>PHA</t>
  </si>
  <si>
    <t>BOS</t>
  </si>
  <si>
    <t>BSN</t>
  </si>
  <si>
    <t>CHA</t>
  </si>
  <si>
    <t>CIN</t>
  </si>
  <si>
    <t>CLE</t>
  </si>
  <si>
    <t>NYA</t>
  </si>
  <si>
    <t>WS1</t>
  </si>
  <si>
    <t>PIT</t>
  </si>
  <si>
    <t>SLN</t>
  </si>
  <si>
    <t>DET</t>
  </si>
  <si>
    <t>BRO</t>
  </si>
  <si>
    <t>ML1</t>
  </si>
  <si>
    <t>LAN</t>
  </si>
  <si>
    <t>BAL</t>
  </si>
  <si>
    <t>NYN</t>
  </si>
  <si>
    <t>OAK</t>
  </si>
  <si>
    <t>PHI</t>
  </si>
  <si>
    <t>KCA</t>
  </si>
  <si>
    <t>MIN</t>
  </si>
  <si>
    <t>TOR</t>
  </si>
  <si>
    <t>NULL</t>
  </si>
  <si>
    <t>ATL</t>
  </si>
  <si>
    <t>FLO</t>
  </si>
  <si>
    <t>ARI</t>
  </si>
  <si>
    <t>ANA</t>
  </si>
  <si>
    <t>SFN</t>
  </si>
  <si>
    <t>Row Labels</t>
  </si>
  <si>
    <t>(blank)</t>
  </si>
  <si>
    <t>Grand Total</t>
  </si>
  <si>
    <t>Count of team</t>
  </si>
  <si>
    <t>total increase:</t>
  </si>
  <si>
    <t>total decrease:</t>
  </si>
  <si>
    <t>decreasing years:</t>
  </si>
  <si>
    <t>increasing years:</t>
  </si>
  <si>
    <t>% of years with increase: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</si>
</sst>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attendance_after_ws_win!$D$1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attendance_after_ws_win!$B:$B</c15:sqref>
                  </c15:fullRef>
                </c:ext>
              </c:extLst>
              <c:f>attendance_after_ws_win!$B$2:$B$1048576</c:f>
              <c:strCache>
                <c:ptCount val="106"/>
                <c:pt idx="0">
                  <c:v>1886</c:v>
                </c:pt>
                <c:pt idx="1">
                  <c:v>1887</c:v>
                </c:pt>
                <c:pt idx="2">
                  <c:v>1888</c:v>
                </c:pt>
                <c:pt idx="3">
                  <c:v>1889</c:v>
                </c:pt>
                <c:pt idx="4">
                  <c:v>1911</c:v>
                </c:pt>
                <c:pt idx="5">
                  <c:v>1912</c:v>
                </c:pt>
                <c:pt idx="6">
                  <c:v>1913</c:v>
                </c:pt>
                <c:pt idx="7">
                  <c:v>1914</c:v>
                </c:pt>
                <c:pt idx="8">
                  <c:v>1917</c:v>
                </c:pt>
                <c:pt idx="9">
                  <c:v>1918</c:v>
                </c:pt>
                <c:pt idx="10">
                  <c:v>1919</c:v>
                </c:pt>
                <c:pt idx="11">
                  <c:v>1920</c:v>
                </c:pt>
                <c:pt idx="12">
                  <c:v>1921</c:v>
                </c:pt>
                <c:pt idx="13">
                  <c:v>1922</c:v>
                </c:pt>
                <c:pt idx="14">
                  <c:v>1923</c:v>
                </c:pt>
                <c:pt idx="15">
                  <c:v>1924</c:v>
                </c:pt>
                <c:pt idx="16">
                  <c:v>1925</c:v>
                </c:pt>
                <c:pt idx="17">
                  <c:v>1926</c:v>
                </c:pt>
                <c:pt idx="18">
                  <c:v>1927</c:v>
                </c:pt>
                <c:pt idx="19">
                  <c:v>1928</c:v>
                </c:pt>
                <c:pt idx="20">
                  <c:v>1929</c:v>
                </c:pt>
                <c:pt idx="21">
                  <c:v>1930</c:v>
                </c:pt>
                <c:pt idx="22">
                  <c:v>1931</c:v>
                </c:pt>
                <c:pt idx="23">
                  <c:v>1932</c:v>
                </c:pt>
                <c:pt idx="24">
                  <c:v>1933</c:v>
                </c:pt>
                <c:pt idx="25">
                  <c:v>1934</c:v>
                </c:pt>
                <c:pt idx="26">
                  <c:v>1935</c:v>
                </c:pt>
                <c:pt idx="27">
                  <c:v>1936</c:v>
                </c:pt>
                <c:pt idx="28">
                  <c:v>1937</c:v>
                </c:pt>
                <c:pt idx="29">
                  <c:v>1938</c:v>
                </c:pt>
                <c:pt idx="30">
                  <c:v>1939</c:v>
                </c:pt>
                <c:pt idx="31">
                  <c:v>1940</c:v>
                </c:pt>
                <c:pt idx="32">
                  <c:v>1941</c:v>
                </c:pt>
                <c:pt idx="33">
                  <c:v>1942</c:v>
                </c:pt>
                <c:pt idx="34">
                  <c:v>1943</c:v>
                </c:pt>
                <c:pt idx="35">
                  <c:v>1944</c:v>
                </c:pt>
                <c:pt idx="36">
                  <c:v>1945</c:v>
                </c:pt>
                <c:pt idx="37">
                  <c:v>1946</c:v>
                </c:pt>
                <c:pt idx="38">
                  <c:v>1947</c:v>
                </c:pt>
                <c:pt idx="39">
                  <c:v>1948</c:v>
                </c:pt>
                <c:pt idx="40">
                  <c:v>1949</c:v>
                </c:pt>
                <c:pt idx="41">
                  <c:v>1950</c:v>
                </c:pt>
                <c:pt idx="42">
                  <c:v>1951</c:v>
                </c:pt>
                <c:pt idx="43">
                  <c:v>1952</c:v>
                </c:pt>
                <c:pt idx="44">
                  <c:v>1953</c:v>
                </c:pt>
                <c:pt idx="45">
                  <c:v>1954</c:v>
                </c:pt>
                <c:pt idx="46">
                  <c:v>1955</c:v>
                </c:pt>
                <c:pt idx="47">
                  <c:v>1956</c:v>
                </c:pt>
                <c:pt idx="48">
                  <c:v>1957</c:v>
                </c:pt>
                <c:pt idx="49">
                  <c:v>1958</c:v>
                </c:pt>
                <c:pt idx="50">
                  <c:v>1959</c:v>
                </c:pt>
                <c:pt idx="51">
                  <c:v>1960</c:v>
                </c:pt>
                <c:pt idx="52">
                  <c:v>1961</c:v>
                </c:pt>
                <c:pt idx="53">
                  <c:v>1962</c:v>
                </c:pt>
                <c:pt idx="54">
                  <c:v>1963</c:v>
                </c:pt>
                <c:pt idx="55">
                  <c:v>1964</c:v>
                </c:pt>
                <c:pt idx="56">
                  <c:v>1965</c:v>
                </c:pt>
                <c:pt idx="57">
                  <c:v>1966</c:v>
                </c:pt>
                <c:pt idx="58">
                  <c:v>1967</c:v>
                </c:pt>
                <c:pt idx="59">
                  <c:v>1968</c:v>
                </c:pt>
                <c:pt idx="60">
                  <c:v>1969</c:v>
                </c:pt>
                <c:pt idx="61">
                  <c:v>1970</c:v>
                </c:pt>
                <c:pt idx="62">
                  <c:v>1971</c:v>
                </c:pt>
                <c:pt idx="63">
                  <c:v>1972</c:v>
                </c:pt>
                <c:pt idx="64">
                  <c:v>1973</c:v>
                </c:pt>
                <c:pt idx="65">
                  <c:v>1974</c:v>
                </c:pt>
                <c:pt idx="66">
                  <c:v>1975</c:v>
                </c:pt>
                <c:pt idx="67">
                  <c:v>1976</c:v>
                </c:pt>
                <c:pt idx="68">
                  <c:v>1977</c:v>
                </c:pt>
                <c:pt idx="69">
                  <c:v>1978</c:v>
                </c:pt>
                <c:pt idx="70">
                  <c:v>1979</c:v>
                </c:pt>
                <c:pt idx="71">
                  <c:v>1980</c:v>
                </c:pt>
                <c:pt idx="72">
                  <c:v>1981</c:v>
                </c:pt>
                <c:pt idx="73">
                  <c:v>1982</c:v>
                </c:pt>
                <c:pt idx="74">
                  <c:v>1983</c:v>
                </c:pt>
                <c:pt idx="75">
                  <c:v>1984</c:v>
                </c:pt>
                <c:pt idx="76">
                  <c:v>1985</c:v>
                </c:pt>
                <c:pt idx="77">
                  <c:v>1986</c:v>
                </c:pt>
                <c:pt idx="78">
                  <c:v>1987</c:v>
                </c:pt>
                <c:pt idx="79">
                  <c:v>1988</c:v>
                </c:pt>
                <c:pt idx="80">
                  <c:v>1989</c:v>
                </c:pt>
                <c:pt idx="81">
                  <c:v>1990</c:v>
                </c:pt>
                <c:pt idx="82">
                  <c:v>1991</c:v>
                </c:pt>
                <c:pt idx="83">
                  <c:v>1992</c:v>
                </c:pt>
                <c:pt idx="84">
                  <c:v>1993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attendance_after_ws_win!$D$2:$D$107</c15:sqref>
                  </c15:fullRef>
                </c:ext>
              </c:extLst>
              <c:f>attendance_after_ws_win!$D$3:$D$107</c:f>
              <c:numCache>
                <c:formatCode>General</c:formatCode>
                <c:ptCount val="105"/>
                <c:pt idx="0">
                  <c:v>269.35000000000002</c:v>
                </c:pt>
                <c:pt idx="1">
                  <c:v>741.43</c:v>
                </c:pt>
                <c:pt idx="2">
                  <c:v>118.89</c:v>
                </c:pt>
                <c:pt idx="3">
                  <c:v>1613.33</c:v>
                </c:pt>
                <c:pt idx="4">
                  <c:v>8526.2800000000007</c:v>
                </c:pt>
                <c:pt idx="5">
                  <c:v>7453.95</c:v>
                </c:pt>
                <c:pt idx="6">
                  <c:v>5980.53</c:v>
                </c:pt>
                <c:pt idx="7">
                  <c:v>9379.75</c:v>
                </c:pt>
                <c:pt idx="8">
                  <c:v>371.43</c:v>
                </c:pt>
                <c:pt idx="9">
                  <c:v>4073.59</c:v>
                </c:pt>
                <c:pt idx="10">
                  <c:v>3743.59</c:v>
                </c:pt>
                <c:pt idx="11">
                  <c:v>14424.05</c:v>
                </c:pt>
                <c:pt idx="12">
                  <c:v>12316.46</c:v>
                </c:pt>
                <c:pt idx="13">
                  <c:v>20765.79</c:v>
                </c:pt>
                <c:pt idx="14">
                  <c:v>4284.8100000000004</c:v>
                </c:pt>
                <c:pt idx="15">
                  <c:v>9225.36</c:v>
                </c:pt>
                <c:pt idx="16">
                  <c:v>3535.18</c:v>
                </c:pt>
                <c:pt idx="17">
                  <c:v>19326.509999999998</c:v>
                </c:pt>
                <c:pt idx="18">
                  <c:v>11470.97</c:v>
                </c:pt>
                <c:pt idx="19">
                  <c:v>4027.03</c:v>
                </c:pt>
                <c:pt idx="20">
                  <c:v>3026.32</c:v>
                </c:pt>
                <c:pt idx="21">
                  <c:v>5235.26</c:v>
                </c:pt>
                <c:pt idx="22">
                  <c:v>9894.23</c:v>
                </c:pt>
                <c:pt idx="23">
                  <c:v>8746.75</c:v>
                </c:pt>
                <c:pt idx="24">
                  <c:v>2067.19</c:v>
                </c:pt>
                <c:pt idx="25">
                  <c:v>8905.06</c:v>
                </c:pt>
                <c:pt idx="26">
                  <c:v>13861.84</c:v>
                </c:pt>
                <c:pt idx="27">
                  <c:v>13153.3</c:v>
                </c:pt>
                <c:pt idx="28">
                  <c:v>12314.76</c:v>
                </c:pt>
                <c:pt idx="29">
                  <c:v>12537.49</c:v>
                </c:pt>
                <c:pt idx="30">
                  <c:v>11124.38</c:v>
                </c:pt>
                <c:pt idx="31">
                  <c:v>13508.69</c:v>
                </c:pt>
                <c:pt idx="32">
                  <c:v>6832.54</c:v>
                </c:pt>
                <c:pt idx="33">
                  <c:v>9039.44</c:v>
                </c:pt>
                <c:pt idx="34">
                  <c:v>6772.88</c:v>
                </c:pt>
                <c:pt idx="35">
                  <c:v>16420.3</c:v>
                </c:pt>
                <c:pt idx="36">
                  <c:v>13590.86</c:v>
                </c:pt>
                <c:pt idx="37">
                  <c:v>28896.23</c:v>
                </c:pt>
                <c:pt idx="38">
                  <c:v>33670.76</c:v>
                </c:pt>
                <c:pt idx="39">
                  <c:v>29760.79</c:v>
                </c:pt>
                <c:pt idx="40">
                  <c:v>26063.66</c:v>
                </c:pt>
                <c:pt idx="41">
                  <c:v>24750.37</c:v>
                </c:pt>
                <c:pt idx="42">
                  <c:v>20694.79</c:v>
                </c:pt>
                <c:pt idx="43">
                  <c:v>19439.18</c:v>
                </c:pt>
                <c:pt idx="44">
                  <c:v>15329.88</c:v>
                </c:pt>
                <c:pt idx="45">
                  <c:v>13266.09</c:v>
                </c:pt>
                <c:pt idx="46">
                  <c:v>21212.74</c:v>
                </c:pt>
                <c:pt idx="47">
                  <c:v>28397.96</c:v>
                </c:pt>
                <c:pt idx="48">
                  <c:v>17901.04</c:v>
                </c:pt>
                <c:pt idx="49">
                  <c:v>26711.85</c:v>
                </c:pt>
                <c:pt idx="50">
                  <c:v>21885.759999999998</c:v>
                </c:pt>
                <c:pt idx="51">
                  <c:v>21576.86</c:v>
                </c:pt>
                <c:pt idx="52">
                  <c:v>20079.060000000001</c:v>
                </c:pt>
                <c:pt idx="53">
                  <c:v>31341.47</c:v>
                </c:pt>
                <c:pt idx="54">
                  <c:v>14107</c:v>
                </c:pt>
                <c:pt idx="55">
                  <c:v>31612.94</c:v>
                </c:pt>
                <c:pt idx="56">
                  <c:v>15233.22</c:v>
                </c:pt>
                <c:pt idx="57">
                  <c:v>25798.09</c:v>
                </c:pt>
                <c:pt idx="58">
                  <c:v>25089.59</c:v>
                </c:pt>
                <c:pt idx="59">
                  <c:v>26732.82</c:v>
                </c:pt>
                <c:pt idx="60">
                  <c:v>12690.17</c:v>
                </c:pt>
                <c:pt idx="61">
                  <c:v>19254.599999999999</c:v>
                </c:pt>
                <c:pt idx="62">
                  <c:v>12046.03</c:v>
                </c:pt>
                <c:pt idx="63">
                  <c:v>12346.23</c:v>
                </c:pt>
                <c:pt idx="64">
                  <c:v>10329.16</c:v>
                </c:pt>
                <c:pt idx="65">
                  <c:v>28587.69</c:v>
                </c:pt>
                <c:pt idx="66">
                  <c:v>32465.53</c:v>
                </c:pt>
                <c:pt idx="67">
                  <c:v>28592.880000000001</c:v>
                </c:pt>
                <c:pt idx="68">
                  <c:v>29930.85</c:v>
                </c:pt>
                <c:pt idx="69">
                  <c:v>17721.32</c:v>
                </c:pt>
                <c:pt idx="70">
                  <c:v>32826.629999999997</c:v>
                </c:pt>
                <c:pt idx="71">
                  <c:v>42546.05</c:v>
                </c:pt>
                <c:pt idx="72">
                  <c:v>26073.11</c:v>
                </c:pt>
                <c:pt idx="73">
                  <c:v>25140.7</c:v>
                </c:pt>
                <c:pt idx="74">
                  <c:v>32985.29</c:v>
                </c:pt>
                <c:pt idx="75">
                  <c:v>26374.57</c:v>
                </c:pt>
                <c:pt idx="76">
                  <c:v>34103.910000000003</c:v>
                </c:pt>
                <c:pt idx="77">
                  <c:v>25706.21</c:v>
                </c:pt>
                <c:pt idx="78">
                  <c:v>36793.360000000001</c:v>
                </c:pt>
                <c:pt idx="79">
                  <c:v>32983.22</c:v>
                </c:pt>
                <c:pt idx="80">
                  <c:v>29723</c:v>
                </c:pt>
                <c:pt idx="81">
                  <c:v>28319.040000000001</c:v>
                </c:pt>
                <c:pt idx="82">
                  <c:v>49732.32</c:v>
                </c:pt>
                <c:pt idx="83">
                  <c:v>50095.64</c:v>
                </c:pt>
                <c:pt idx="84">
                  <c:v>35617.94</c:v>
                </c:pt>
                <c:pt idx="85">
                  <c:v>28188.14</c:v>
                </c:pt>
                <c:pt idx="86">
                  <c:v>29044.04</c:v>
                </c:pt>
                <c:pt idx="87">
                  <c:v>36416.47</c:v>
                </c:pt>
                <c:pt idx="88">
                  <c:v>40657.519999999997</c:v>
                </c:pt>
                <c:pt idx="89">
                  <c:v>40345.71</c:v>
                </c:pt>
                <c:pt idx="90">
                  <c:v>33775.57</c:v>
                </c:pt>
                <c:pt idx="91">
                  <c:v>28462.560000000001</c:v>
                </c:pt>
                <c:pt idx="92">
                  <c:v>16089.06</c:v>
                </c:pt>
                <c:pt idx="93">
                  <c:v>35028.44</c:v>
                </c:pt>
                <c:pt idx="94">
                  <c:v>28923.88</c:v>
                </c:pt>
                <c:pt idx="95">
                  <c:v>42588.800000000003</c:v>
                </c:pt>
                <c:pt idx="96">
                  <c:v>36675.99</c:v>
                </c:pt>
                <c:pt idx="97">
                  <c:v>42254.11</c:v>
                </c:pt>
                <c:pt idx="98">
                  <c:v>45918</c:v>
                </c:pt>
                <c:pt idx="99">
                  <c:v>37497.120000000003</c:v>
                </c:pt>
                <c:pt idx="100">
                  <c:v>38196.959999999999</c:v>
                </c:pt>
                <c:pt idx="101">
                  <c:v>41695.94</c:v>
                </c:pt>
                <c:pt idx="102">
                  <c:v>34979.42</c:v>
                </c:pt>
                <c:pt idx="103">
                  <c:v>41588.85</c:v>
                </c:pt>
                <c:pt idx="104">
                  <c:v>33438.879999999997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A-4049-8E60-3F0F98488F28}"/>
            </c:ext>
          </c:extLst>
        </c:ser>
        <c:ser>
          <c:idx val="1"/>
          <c:order val="1"/>
          <c:tx>
            <c:strRef>
              <c:f>attendance_after_ws_win!$G$1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attendance_after_ws_win!$B:$B</c15:sqref>
                  </c15:fullRef>
                </c:ext>
              </c:extLst>
              <c:f>attendance_after_ws_win!$B$2:$B$1048576</c:f>
              <c:strCache>
                <c:ptCount val="106"/>
                <c:pt idx="0">
                  <c:v>1886</c:v>
                </c:pt>
                <c:pt idx="1">
                  <c:v>1887</c:v>
                </c:pt>
                <c:pt idx="2">
                  <c:v>1888</c:v>
                </c:pt>
                <c:pt idx="3">
                  <c:v>1889</c:v>
                </c:pt>
                <c:pt idx="4">
                  <c:v>1911</c:v>
                </c:pt>
                <c:pt idx="5">
                  <c:v>1912</c:v>
                </c:pt>
                <c:pt idx="6">
                  <c:v>1913</c:v>
                </c:pt>
                <c:pt idx="7">
                  <c:v>1914</c:v>
                </c:pt>
                <c:pt idx="8">
                  <c:v>1917</c:v>
                </c:pt>
                <c:pt idx="9">
                  <c:v>1918</c:v>
                </c:pt>
                <c:pt idx="10">
                  <c:v>1919</c:v>
                </c:pt>
                <c:pt idx="11">
                  <c:v>1920</c:v>
                </c:pt>
                <c:pt idx="12">
                  <c:v>1921</c:v>
                </c:pt>
                <c:pt idx="13">
                  <c:v>1922</c:v>
                </c:pt>
                <c:pt idx="14">
                  <c:v>1923</c:v>
                </c:pt>
                <c:pt idx="15">
                  <c:v>1924</c:v>
                </c:pt>
                <c:pt idx="16">
                  <c:v>1925</c:v>
                </c:pt>
                <c:pt idx="17">
                  <c:v>1926</c:v>
                </c:pt>
                <c:pt idx="18">
                  <c:v>1927</c:v>
                </c:pt>
                <c:pt idx="19">
                  <c:v>1928</c:v>
                </c:pt>
                <c:pt idx="20">
                  <c:v>1929</c:v>
                </c:pt>
                <c:pt idx="21">
                  <c:v>1930</c:v>
                </c:pt>
                <c:pt idx="22">
                  <c:v>1931</c:v>
                </c:pt>
                <c:pt idx="23">
                  <c:v>1932</c:v>
                </c:pt>
                <c:pt idx="24">
                  <c:v>1933</c:v>
                </c:pt>
                <c:pt idx="25">
                  <c:v>1934</c:v>
                </c:pt>
                <c:pt idx="26">
                  <c:v>1935</c:v>
                </c:pt>
                <c:pt idx="27">
                  <c:v>1936</c:v>
                </c:pt>
                <c:pt idx="28">
                  <c:v>1937</c:v>
                </c:pt>
                <c:pt idx="29">
                  <c:v>1938</c:v>
                </c:pt>
                <c:pt idx="30">
                  <c:v>1939</c:v>
                </c:pt>
                <c:pt idx="31">
                  <c:v>1940</c:v>
                </c:pt>
                <c:pt idx="32">
                  <c:v>1941</c:v>
                </c:pt>
                <c:pt idx="33">
                  <c:v>1942</c:v>
                </c:pt>
                <c:pt idx="34">
                  <c:v>1943</c:v>
                </c:pt>
                <c:pt idx="35">
                  <c:v>1944</c:v>
                </c:pt>
                <c:pt idx="36">
                  <c:v>1945</c:v>
                </c:pt>
                <c:pt idx="37">
                  <c:v>1946</c:v>
                </c:pt>
                <c:pt idx="38">
                  <c:v>1947</c:v>
                </c:pt>
                <c:pt idx="39">
                  <c:v>1948</c:v>
                </c:pt>
                <c:pt idx="40">
                  <c:v>1949</c:v>
                </c:pt>
                <c:pt idx="41">
                  <c:v>1950</c:v>
                </c:pt>
                <c:pt idx="42">
                  <c:v>1951</c:v>
                </c:pt>
                <c:pt idx="43">
                  <c:v>1952</c:v>
                </c:pt>
                <c:pt idx="44">
                  <c:v>1953</c:v>
                </c:pt>
                <c:pt idx="45">
                  <c:v>1954</c:v>
                </c:pt>
                <c:pt idx="46">
                  <c:v>1955</c:v>
                </c:pt>
                <c:pt idx="47">
                  <c:v>1956</c:v>
                </c:pt>
                <c:pt idx="48">
                  <c:v>1957</c:v>
                </c:pt>
                <c:pt idx="49">
                  <c:v>1958</c:v>
                </c:pt>
                <c:pt idx="50">
                  <c:v>1959</c:v>
                </c:pt>
                <c:pt idx="51">
                  <c:v>1960</c:v>
                </c:pt>
                <c:pt idx="52">
                  <c:v>1961</c:v>
                </c:pt>
                <c:pt idx="53">
                  <c:v>1962</c:v>
                </c:pt>
                <c:pt idx="54">
                  <c:v>1963</c:v>
                </c:pt>
                <c:pt idx="55">
                  <c:v>1964</c:v>
                </c:pt>
                <c:pt idx="56">
                  <c:v>1965</c:v>
                </c:pt>
                <c:pt idx="57">
                  <c:v>1966</c:v>
                </c:pt>
                <c:pt idx="58">
                  <c:v>1967</c:v>
                </c:pt>
                <c:pt idx="59">
                  <c:v>1968</c:v>
                </c:pt>
                <c:pt idx="60">
                  <c:v>1969</c:v>
                </c:pt>
                <c:pt idx="61">
                  <c:v>1970</c:v>
                </c:pt>
                <c:pt idx="62">
                  <c:v>1971</c:v>
                </c:pt>
                <c:pt idx="63">
                  <c:v>1972</c:v>
                </c:pt>
                <c:pt idx="64">
                  <c:v>1973</c:v>
                </c:pt>
                <c:pt idx="65">
                  <c:v>1974</c:v>
                </c:pt>
                <c:pt idx="66">
                  <c:v>1975</c:v>
                </c:pt>
                <c:pt idx="67">
                  <c:v>1976</c:v>
                </c:pt>
                <c:pt idx="68">
                  <c:v>1977</c:v>
                </c:pt>
                <c:pt idx="69">
                  <c:v>1978</c:v>
                </c:pt>
                <c:pt idx="70">
                  <c:v>1979</c:v>
                </c:pt>
                <c:pt idx="71">
                  <c:v>1980</c:v>
                </c:pt>
                <c:pt idx="72">
                  <c:v>1981</c:v>
                </c:pt>
                <c:pt idx="73">
                  <c:v>1982</c:v>
                </c:pt>
                <c:pt idx="74">
                  <c:v>1983</c:v>
                </c:pt>
                <c:pt idx="75">
                  <c:v>1984</c:v>
                </c:pt>
                <c:pt idx="76">
                  <c:v>1985</c:v>
                </c:pt>
                <c:pt idx="77">
                  <c:v>1986</c:v>
                </c:pt>
                <c:pt idx="78">
                  <c:v>1987</c:v>
                </c:pt>
                <c:pt idx="79">
                  <c:v>1988</c:v>
                </c:pt>
                <c:pt idx="80">
                  <c:v>1989</c:v>
                </c:pt>
                <c:pt idx="81">
                  <c:v>1990</c:v>
                </c:pt>
                <c:pt idx="82">
                  <c:v>1991</c:v>
                </c:pt>
                <c:pt idx="83">
                  <c:v>1992</c:v>
                </c:pt>
                <c:pt idx="84">
                  <c:v>1993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attendance_after_ws_win!$G$2:$G$107</c15:sqref>
                  </c15:fullRef>
                </c:ext>
              </c:extLst>
              <c:f>attendance_after_ws_win!$G$3:$G$107</c:f>
              <c:numCache>
                <c:formatCode>General</c:formatCode>
                <c:ptCount val="105"/>
                <c:pt idx="0">
                  <c:v>205.88</c:v>
                </c:pt>
                <c:pt idx="1">
                  <c:v>118.89</c:v>
                </c:pt>
                <c:pt idx="2">
                  <c:v>152.33000000000001</c:v>
                </c:pt>
                <c:pt idx="3">
                  <c:v>7470.13</c:v>
                </c:pt>
                <c:pt idx="4">
                  <c:v>6348</c:v>
                </c:pt>
                <c:pt idx="5">
                  <c:v>4773.08</c:v>
                </c:pt>
                <c:pt idx="6">
                  <c:v>4885.55</c:v>
                </c:pt>
                <c:pt idx="7">
                  <c:v>696.43</c:v>
                </c:pt>
                <c:pt idx="8">
                  <c:v>1015.15</c:v>
                </c:pt>
                <c:pt idx="9">
                  <c:v>2396.1</c:v>
                </c:pt>
                <c:pt idx="10">
                  <c:v>3363.64</c:v>
                </c:pt>
                <c:pt idx="11">
                  <c:v>12316.46</c:v>
                </c:pt>
                <c:pt idx="12">
                  <c:v>13090.91</c:v>
                </c:pt>
                <c:pt idx="13">
                  <c:v>19597.23</c:v>
                </c:pt>
                <c:pt idx="14">
                  <c:v>5631.58</c:v>
                </c:pt>
                <c:pt idx="15">
                  <c:v>1734.18</c:v>
                </c:pt>
                <c:pt idx="16">
                  <c:v>7814.31</c:v>
                </c:pt>
                <c:pt idx="17">
                  <c:v>11470.97</c:v>
                </c:pt>
                <c:pt idx="18">
                  <c:v>11294.09</c:v>
                </c:pt>
                <c:pt idx="19">
                  <c:v>3026.32</c:v>
                </c:pt>
                <c:pt idx="20">
                  <c:v>4853.33</c:v>
                </c:pt>
                <c:pt idx="21">
                  <c:v>2942.56</c:v>
                </c:pt>
                <c:pt idx="22">
                  <c:v>13513.13</c:v>
                </c:pt>
                <c:pt idx="23">
                  <c:v>5034.3100000000004</c:v>
                </c:pt>
                <c:pt idx="24">
                  <c:v>7470.62</c:v>
                </c:pt>
                <c:pt idx="25">
                  <c:v>6385.71</c:v>
                </c:pt>
                <c:pt idx="26">
                  <c:v>13153.3</c:v>
                </c:pt>
                <c:pt idx="27">
                  <c:v>12314.76</c:v>
                </c:pt>
                <c:pt idx="28">
                  <c:v>12537.49</c:v>
                </c:pt>
                <c:pt idx="29">
                  <c:v>14587.16</c:v>
                </c:pt>
                <c:pt idx="30">
                  <c:v>8268.81</c:v>
                </c:pt>
                <c:pt idx="31">
                  <c:v>12954.79</c:v>
                </c:pt>
                <c:pt idx="32">
                  <c:v>6715.04</c:v>
                </c:pt>
                <c:pt idx="33">
                  <c:v>13412.87</c:v>
                </c:pt>
                <c:pt idx="34">
                  <c:v>7304.58</c:v>
                </c:pt>
                <c:pt idx="35">
                  <c:v>19397.560000000001</c:v>
                </c:pt>
                <c:pt idx="36">
                  <c:v>16079.13</c:v>
                </c:pt>
                <c:pt idx="37">
                  <c:v>31314.22</c:v>
                </c:pt>
                <c:pt idx="38">
                  <c:v>30189.51</c:v>
                </c:pt>
                <c:pt idx="39">
                  <c:v>26063.66</c:v>
                </c:pt>
                <c:pt idx="40">
                  <c:v>24750.37</c:v>
                </c:pt>
                <c:pt idx="41">
                  <c:v>20694.79</c:v>
                </c:pt>
                <c:pt idx="42">
                  <c:v>19439.18</c:v>
                </c:pt>
                <c:pt idx="43">
                  <c:v>18910.91</c:v>
                </c:pt>
                <c:pt idx="44">
                  <c:v>10445.59</c:v>
                </c:pt>
                <c:pt idx="45">
                  <c:v>16066.92</c:v>
                </c:pt>
                <c:pt idx="46">
                  <c:v>19517.95</c:v>
                </c:pt>
                <c:pt idx="47">
                  <c:v>25361.08</c:v>
                </c:pt>
                <c:pt idx="48">
                  <c:v>21576.65</c:v>
                </c:pt>
                <c:pt idx="49">
                  <c:v>29467.38</c:v>
                </c:pt>
                <c:pt idx="50">
                  <c:v>15574</c:v>
                </c:pt>
                <c:pt idx="51">
                  <c:v>20079.060000000001</c:v>
                </c:pt>
                <c:pt idx="52">
                  <c:v>18256.71</c:v>
                </c:pt>
                <c:pt idx="53">
                  <c:v>27586.400000000001</c:v>
                </c:pt>
                <c:pt idx="54">
                  <c:v>15245.57</c:v>
                </c:pt>
                <c:pt idx="55">
                  <c:v>32309.33</c:v>
                </c:pt>
                <c:pt idx="56">
                  <c:v>11102.62</c:v>
                </c:pt>
                <c:pt idx="57">
                  <c:v>24834.16</c:v>
                </c:pt>
                <c:pt idx="58">
                  <c:v>19556.330000000002</c:v>
                </c:pt>
                <c:pt idx="59">
                  <c:v>32895.800000000003</c:v>
                </c:pt>
                <c:pt idx="60">
                  <c:v>13416.04</c:v>
                </c:pt>
                <c:pt idx="61">
                  <c:v>19499.599999999999</c:v>
                </c:pt>
                <c:pt idx="62">
                  <c:v>12346.23</c:v>
                </c:pt>
                <c:pt idx="63">
                  <c:v>10329.16</c:v>
                </c:pt>
                <c:pt idx="64">
                  <c:v>13303.67</c:v>
                </c:pt>
                <c:pt idx="65">
                  <c:v>32465.53</c:v>
                </c:pt>
                <c:pt idx="66">
                  <c:v>31185.57</c:v>
                </c:pt>
                <c:pt idx="67">
                  <c:v>29930.85</c:v>
                </c:pt>
                <c:pt idx="68">
                  <c:v>31405.53</c:v>
                </c:pt>
                <c:pt idx="69">
                  <c:v>20268.599999999999</c:v>
                </c:pt>
                <c:pt idx="70">
                  <c:v>29798.44</c:v>
                </c:pt>
                <c:pt idx="71">
                  <c:v>44554.09</c:v>
                </c:pt>
                <c:pt idx="72">
                  <c:v>28934.19</c:v>
                </c:pt>
                <c:pt idx="73">
                  <c:v>25150.69</c:v>
                </c:pt>
                <c:pt idx="74">
                  <c:v>28229.75</c:v>
                </c:pt>
                <c:pt idx="75">
                  <c:v>28651.41</c:v>
                </c:pt>
                <c:pt idx="76">
                  <c:v>37371.86</c:v>
                </c:pt>
                <c:pt idx="77">
                  <c:v>37407.4</c:v>
                </c:pt>
                <c:pt idx="78">
                  <c:v>36343.620000000003</c:v>
                </c:pt>
                <c:pt idx="79">
                  <c:v>35842.01</c:v>
                </c:pt>
                <c:pt idx="80">
                  <c:v>29288.6</c:v>
                </c:pt>
                <c:pt idx="81">
                  <c:v>30644.3</c:v>
                </c:pt>
                <c:pt idx="82">
                  <c:v>50095.64</c:v>
                </c:pt>
                <c:pt idx="83">
                  <c:v>49287.27</c:v>
                </c:pt>
                <c:pt idx="84">
                  <c:v>35787.730000000003</c:v>
                </c:pt>
                <c:pt idx="85">
                  <c:v>32263.040000000001</c:v>
                </c:pt>
                <c:pt idx="86">
                  <c:v>21609.81</c:v>
                </c:pt>
                <c:pt idx="87">
                  <c:v>40657.519999999997</c:v>
                </c:pt>
                <c:pt idx="88">
                  <c:v>40345.71</c:v>
                </c:pt>
                <c:pt idx="89">
                  <c:v>40810.589999999997</c:v>
                </c:pt>
                <c:pt idx="90">
                  <c:v>39493.519999999997</c:v>
                </c:pt>
                <c:pt idx="91">
                  <c:v>37330.410000000003</c:v>
                </c:pt>
                <c:pt idx="92">
                  <c:v>21538.81</c:v>
                </c:pt>
                <c:pt idx="93">
                  <c:v>35158</c:v>
                </c:pt>
                <c:pt idx="94">
                  <c:v>36511.279999999999</c:v>
                </c:pt>
                <c:pt idx="95">
                  <c:v>43854.07</c:v>
                </c:pt>
                <c:pt idx="96">
                  <c:v>37632.720000000001</c:v>
                </c:pt>
                <c:pt idx="97">
                  <c:v>44453</c:v>
                </c:pt>
                <c:pt idx="98">
                  <c:v>46491.44</c:v>
                </c:pt>
                <c:pt idx="99">
                  <c:v>41818.559999999998</c:v>
                </c:pt>
                <c:pt idx="100">
                  <c:v>40272.949999999997</c:v>
                </c:pt>
                <c:pt idx="101">
                  <c:v>41071.56</c:v>
                </c:pt>
                <c:pt idx="102">
                  <c:v>36494.93</c:v>
                </c:pt>
                <c:pt idx="103">
                  <c:v>41677.56</c:v>
                </c:pt>
                <c:pt idx="104">
                  <c:v>31576.69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7A-4049-8E60-3F0F98488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789327"/>
        <c:axId val="991788367"/>
      </c:lineChart>
      <c:catAx>
        <c:axId val="9917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8367"/>
        <c:crosses val="autoZero"/>
        <c:auto val="1"/>
        <c:lblAlgn val="ctr"/>
        <c:lblOffset val="100"/>
        <c:noMultiLvlLbl val="0"/>
      </c:catAx>
      <c:valAx>
        <c:axId val="9917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attendance_after_ws_win!$D$1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attendance_after_ws_win!$B:$B</c15:sqref>
                  </c15:fullRef>
                </c:ext>
              </c:extLst>
              <c:f>attendance_after_ws_win!$B$2:$B$1048576</c:f>
              <c:strCache>
                <c:ptCount val="106"/>
                <c:pt idx="0">
                  <c:v>1886</c:v>
                </c:pt>
                <c:pt idx="1">
                  <c:v>1887</c:v>
                </c:pt>
                <c:pt idx="2">
                  <c:v>1888</c:v>
                </c:pt>
                <c:pt idx="3">
                  <c:v>1889</c:v>
                </c:pt>
                <c:pt idx="4">
                  <c:v>1911</c:v>
                </c:pt>
                <c:pt idx="5">
                  <c:v>1912</c:v>
                </c:pt>
                <c:pt idx="6">
                  <c:v>1913</c:v>
                </c:pt>
                <c:pt idx="7">
                  <c:v>1914</c:v>
                </c:pt>
                <c:pt idx="8">
                  <c:v>1917</c:v>
                </c:pt>
                <c:pt idx="9">
                  <c:v>1918</c:v>
                </c:pt>
                <c:pt idx="10">
                  <c:v>1919</c:v>
                </c:pt>
                <c:pt idx="11">
                  <c:v>1920</c:v>
                </c:pt>
                <c:pt idx="12">
                  <c:v>1921</c:v>
                </c:pt>
                <c:pt idx="13">
                  <c:v>1922</c:v>
                </c:pt>
                <c:pt idx="14">
                  <c:v>1923</c:v>
                </c:pt>
                <c:pt idx="15">
                  <c:v>1924</c:v>
                </c:pt>
                <c:pt idx="16">
                  <c:v>1925</c:v>
                </c:pt>
                <c:pt idx="17">
                  <c:v>1926</c:v>
                </c:pt>
                <c:pt idx="18">
                  <c:v>1927</c:v>
                </c:pt>
                <c:pt idx="19">
                  <c:v>1928</c:v>
                </c:pt>
                <c:pt idx="20">
                  <c:v>1929</c:v>
                </c:pt>
                <c:pt idx="21">
                  <c:v>1930</c:v>
                </c:pt>
                <c:pt idx="22">
                  <c:v>1931</c:v>
                </c:pt>
                <c:pt idx="23">
                  <c:v>1932</c:v>
                </c:pt>
                <c:pt idx="24">
                  <c:v>1933</c:v>
                </c:pt>
                <c:pt idx="25">
                  <c:v>1934</c:v>
                </c:pt>
                <c:pt idx="26">
                  <c:v>1935</c:v>
                </c:pt>
                <c:pt idx="27">
                  <c:v>1936</c:v>
                </c:pt>
                <c:pt idx="28">
                  <c:v>1937</c:v>
                </c:pt>
                <c:pt idx="29">
                  <c:v>1938</c:v>
                </c:pt>
                <c:pt idx="30">
                  <c:v>1939</c:v>
                </c:pt>
                <c:pt idx="31">
                  <c:v>1940</c:v>
                </c:pt>
                <c:pt idx="32">
                  <c:v>1941</c:v>
                </c:pt>
                <c:pt idx="33">
                  <c:v>1942</c:v>
                </c:pt>
                <c:pt idx="34">
                  <c:v>1943</c:v>
                </c:pt>
                <c:pt idx="35">
                  <c:v>1944</c:v>
                </c:pt>
                <c:pt idx="36">
                  <c:v>1945</c:v>
                </c:pt>
                <c:pt idx="37">
                  <c:v>1946</c:v>
                </c:pt>
                <c:pt idx="38">
                  <c:v>1947</c:v>
                </c:pt>
                <c:pt idx="39">
                  <c:v>1948</c:v>
                </c:pt>
                <c:pt idx="40">
                  <c:v>1949</c:v>
                </c:pt>
                <c:pt idx="41">
                  <c:v>1950</c:v>
                </c:pt>
                <c:pt idx="42">
                  <c:v>1951</c:v>
                </c:pt>
                <c:pt idx="43">
                  <c:v>1952</c:v>
                </c:pt>
                <c:pt idx="44">
                  <c:v>1953</c:v>
                </c:pt>
                <c:pt idx="45">
                  <c:v>1954</c:v>
                </c:pt>
                <c:pt idx="46">
                  <c:v>1955</c:v>
                </c:pt>
                <c:pt idx="47">
                  <c:v>1956</c:v>
                </c:pt>
                <c:pt idx="48">
                  <c:v>1957</c:v>
                </c:pt>
                <c:pt idx="49">
                  <c:v>1958</c:v>
                </c:pt>
                <c:pt idx="50">
                  <c:v>1959</c:v>
                </c:pt>
                <c:pt idx="51">
                  <c:v>1960</c:v>
                </c:pt>
                <c:pt idx="52">
                  <c:v>1961</c:v>
                </c:pt>
                <c:pt idx="53">
                  <c:v>1962</c:v>
                </c:pt>
                <c:pt idx="54">
                  <c:v>1963</c:v>
                </c:pt>
                <c:pt idx="55">
                  <c:v>1964</c:v>
                </c:pt>
                <c:pt idx="56">
                  <c:v>1965</c:v>
                </c:pt>
                <c:pt idx="57">
                  <c:v>1966</c:v>
                </c:pt>
                <c:pt idx="58">
                  <c:v>1967</c:v>
                </c:pt>
                <c:pt idx="59">
                  <c:v>1968</c:v>
                </c:pt>
                <c:pt idx="60">
                  <c:v>1969</c:v>
                </c:pt>
                <c:pt idx="61">
                  <c:v>1970</c:v>
                </c:pt>
                <c:pt idx="62">
                  <c:v>1971</c:v>
                </c:pt>
                <c:pt idx="63">
                  <c:v>1972</c:v>
                </c:pt>
                <c:pt idx="64">
                  <c:v>1973</c:v>
                </c:pt>
                <c:pt idx="65">
                  <c:v>1974</c:v>
                </c:pt>
                <c:pt idx="66">
                  <c:v>1975</c:v>
                </c:pt>
                <c:pt idx="67">
                  <c:v>1976</c:v>
                </c:pt>
                <c:pt idx="68">
                  <c:v>1977</c:v>
                </c:pt>
                <c:pt idx="69">
                  <c:v>1978</c:v>
                </c:pt>
                <c:pt idx="70">
                  <c:v>1979</c:v>
                </c:pt>
                <c:pt idx="71">
                  <c:v>1980</c:v>
                </c:pt>
                <c:pt idx="72">
                  <c:v>1981</c:v>
                </c:pt>
                <c:pt idx="73">
                  <c:v>1982</c:v>
                </c:pt>
                <c:pt idx="74">
                  <c:v>1983</c:v>
                </c:pt>
                <c:pt idx="75">
                  <c:v>1984</c:v>
                </c:pt>
                <c:pt idx="76">
                  <c:v>1985</c:v>
                </c:pt>
                <c:pt idx="77">
                  <c:v>1986</c:v>
                </c:pt>
                <c:pt idx="78">
                  <c:v>1987</c:v>
                </c:pt>
                <c:pt idx="79">
                  <c:v>1988</c:v>
                </c:pt>
                <c:pt idx="80">
                  <c:v>1989</c:v>
                </c:pt>
                <c:pt idx="81">
                  <c:v>1990</c:v>
                </c:pt>
                <c:pt idx="82">
                  <c:v>1991</c:v>
                </c:pt>
                <c:pt idx="83">
                  <c:v>1992</c:v>
                </c:pt>
                <c:pt idx="84">
                  <c:v>1993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attendance_after_ws_win!$D$2:$D$107</c15:sqref>
                  </c15:fullRef>
                </c:ext>
              </c:extLst>
              <c:f>attendance_after_ws_win!$D$3:$D$107</c:f>
              <c:numCache>
                <c:formatCode>General</c:formatCode>
                <c:ptCount val="105"/>
                <c:pt idx="0">
                  <c:v>269.35000000000002</c:v>
                </c:pt>
                <c:pt idx="1">
                  <c:v>741.43</c:v>
                </c:pt>
                <c:pt idx="2">
                  <c:v>118.89</c:v>
                </c:pt>
                <c:pt idx="3">
                  <c:v>1613.33</c:v>
                </c:pt>
                <c:pt idx="4">
                  <c:v>8526.2800000000007</c:v>
                </c:pt>
                <c:pt idx="5">
                  <c:v>7453.95</c:v>
                </c:pt>
                <c:pt idx="6">
                  <c:v>5980.53</c:v>
                </c:pt>
                <c:pt idx="7">
                  <c:v>9379.75</c:v>
                </c:pt>
                <c:pt idx="8">
                  <c:v>371.43</c:v>
                </c:pt>
                <c:pt idx="9">
                  <c:v>4073.59</c:v>
                </c:pt>
                <c:pt idx="10">
                  <c:v>3743.59</c:v>
                </c:pt>
                <c:pt idx="11">
                  <c:v>14424.05</c:v>
                </c:pt>
                <c:pt idx="12">
                  <c:v>12316.46</c:v>
                </c:pt>
                <c:pt idx="13">
                  <c:v>20765.79</c:v>
                </c:pt>
                <c:pt idx="14">
                  <c:v>4284.8100000000004</c:v>
                </c:pt>
                <c:pt idx="15">
                  <c:v>9225.36</c:v>
                </c:pt>
                <c:pt idx="16">
                  <c:v>3535.18</c:v>
                </c:pt>
                <c:pt idx="17">
                  <c:v>19326.509999999998</c:v>
                </c:pt>
                <c:pt idx="18">
                  <c:v>11470.97</c:v>
                </c:pt>
                <c:pt idx="19">
                  <c:v>4027.03</c:v>
                </c:pt>
                <c:pt idx="20">
                  <c:v>3026.32</c:v>
                </c:pt>
                <c:pt idx="21">
                  <c:v>5235.26</c:v>
                </c:pt>
                <c:pt idx="22">
                  <c:v>9894.23</c:v>
                </c:pt>
                <c:pt idx="23">
                  <c:v>8746.75</c:v>
                </c:pt>
                <c:pt idx="24">
                  <c:v>2067.19</c:v>
                </c:pt>
                <c:pt idx="25">
                  <c:v>8905.06</c:v>
                </c:pt>
                <c:pt idx="26">
                  <c:v>13861.84</c:v>
                </c:pt>
                <c:pt idx="27">
                  <c:v>13153.3</c:v>
                </c:pt>
                <c:pt idx="28">
                  <c:v>12314.76</c:v>
                </c:pt>
                <c:pt idx="29">
                  <c:v>12537.49</c:v>
                </c:pt>
                <c:pt idx="30">
                  <c:v>11124.38</c:v>
                </c:pt>
                <c:pt idx="31">
                  <c:v>13508.69</c:v>
                </c:pt>
                <c:pt idx="32">
                  <c:v>6832.54</c:v>
                </c:pt>
                <c:pt idx="33">
                  <c:v>9039.44</c:v>
                </c:pt>
                <c:pt idx="34">
                  <c:v>6772.88</c:v>
                </c:pt>
                <c:pt idx="35">
                  <c:v>16420.3</c:v>
                </c:pt>
                <c:pt idx="36">
                  <c:v>13590.86</c:v>
                </c:pt>
                <c:pt idx="37">
                  <c:v>28896.23</c:v>
                </c:pt>
                <c:pt idx="38">
                  <c:v>33670.76</c:v>
                </c:pt>
                <c:pt idx="39">
                  <c:v>29760.79</c:v>
                </c:pt>
                <c:pt idx="40">
                  <c:v>26063.66</c:v>
                </c:pt>
                <c:pt idx="41">
                  <c:v>24750.37</c:v>
                </c:pt>
                <c:pt idx="42">
                  <c:v>20694.79</c:v>
                </c:pt>
                <c:pt idx="43">
                  <c:v>19439.18</c:v>
                </c:pt>
                <c:pt idx="44">
                  <c:v>15329.88</c:v>
                </c:pt>
                <c:pt idx="45">
                  <c:v>13266.09</c:v>
                </c:pt>
                <c:pt idx="46">
                  <c:v>21212.74</c:v>
                </c:pt>
                <c:pt idx="47">
                  <c:v>28397.96</c:v>
                </c:pt>
                <c:pt idx="48">
                  <c:v>17901.04</c:v>
                </c:pt>
                <c:pt idx="49">
                  <c:v>26711.85</c:v>
                </c:pt>
                <c:pt idx="50">
                  <c:v>21885.759999999998</c:v>
                </c:pt>
                <c:pt idx="51">
                  <c:v>21576.86</c:v>
                </c:pt>
                <c:pt idx="52">
                  <c:v>20079.060000000001</c:v>
                </c:pt>
                <c:pt idx="53">
                  <c:v>31341.47</c:v>
                </c:pt>
                <c:pt idx="54">
                  <c:v>14107</c:v>
                </c:pt>
                <c:pt idx="55">
                  <c:v>31612.94</c:v>
                </c:pt>
                <c:pt idx="56">
                  <c:v>15233.22</c:v>
                </c:pt>
                <c:pt idx="57">
                  <c:v>25798.09</c:v>
                </c:pt>
                <c:pt idx="58">
                  <c:v>25089.59</c:v>
                </c:pt>
                <c:pt idx="59">
                  <c:v>26732.82</c:v>
                </c:pt>
                <c:pt idx="60">
                  <c:v>12690.17</c:v>
                </c:pt>
                <c:pt idx="61">
                  <c:v>19254.599999999999</c:v>
                </c:pt>
                <c:pt idx="62">
                  <c:v>12046.03</c:v>
                </c:pt>
                <c:pt idx="63">
                  <c:v>12346.23</c:v>
                </c:pt>
                <c:pt idx="64">
                  <c:v>10329.16</c:v>
                </c:pt>
                <c:pt idx="65">
                  <c:v>28587.69</c:v>
                </c:pt>
                <c:pt idx="66">
                  <c:v>32465.53</c:v>
                </c:pt>
                <c:pt idx="67">
                  <c:v>28592.880000000001</c:v>
                </c:pt>
                <c:pt idx="68">
                  <c:v>29930.85</c:v>
                </c:pt>
                <c:pt idx="69">
                  <c:v>17721.32</c:v>
                </c:pt>
                <c:pt idx="70">
                  <c:v>32826.629999999997</c:v>
                </c:pt>
                <c:pt idx="71">
                  <c:v>42546.05</c:v>
                </c:pt>
                <c:pt idx="72">
                  <c:v>26073.11</c:v>
                </c:pt>
                <c:pt idx="73">
                  <c:v>25140.7</c:v>
                </c:pt>
                <c:pt idx="74">
                  <c:v>32985.29</c:v>
                </c:pt>
                <c:pt idx="75">
                  <c:v>26374.57</c:v>
                </c:pt>
                <c:pt idx="76">
                  <c:v>34103.910000000003</c:v>
                </c:pt>
                <c:pt idx="77">
                  <c:v>25706.21</c:v>
                </c:pt>
                <c:pt idx="78">
                  <c:v>36793.360000000001</c:v>
                </c:pt>
                <c:pt idx="79">
                  <c:v>32983.22</c:v>
                </c:pt>
                <c:pt idx="80">
                  <c:v>29723</c:v>
                </c:pt>
                <c:pt idx="81">
                  <c:v>28319.040000000001</c:v>
                </c:pt>
                <c:pt idx="82">
                  <c:v>49732.32</c:v>
                </c:pt>
                <c:pt idx="83">
                  <c:v>50095.64</c:v>
                </c:pt>
                <c:pt idx="84">
                  <c:v>35617.94</c:v>
                </c:pt>
                <c:pt idx="85">
                  <c:v>28188.14</c:v>
                </c:pt>
                <c:pt idx="86">
                  <c:v>29044.04</c:v>
                </c:pt>
                <c:pt idx="87">
                  <c:v>36416.47</c:v>
                </c:pt>
                <c:pt idx="88">
                  <c:v>40657.519999999997</c:v>
                </c:pt>
                <c:pt idx="89">
                  <c:v>40345.71</c:v>
                </c:pt>
                <c:pt idx="90">
                  <c:v>33775.57</c:v>
                </c:pt>
                <c:pt idx="91">
                  <c:v>28462.560000000001</c:v>
                </c:pt>
                <c:pt idx="92">
                  <c:v>16089.06</c:v>
                </c:pt>
                <c:pt idx="93">
                  <c:v>35028.44</c:v>
                </c:pt>
                <c:pt idx="94">
                  <c:v>28923.88</c:v>
                </c:pt>
                <c:pt idx="95">
                  <c:v>42588.800000000003</c:v>
                </c:pt>
                <c:pt idx="96">
                  <c:v>36675.99</c:v>
                </c:pt>
                <c:pt idx="97">
                  <c:v>42254.11</c:v>
                </c:pt>
                <c:pt idx="98">
                  <c:v>45918</c:v>
                </c:pt>
                <c:pt idx="99">
                  <c:v>37497.120000000003</c:v>
                </c:pt>
                <c:pt idx="100">
                  <c:v>38196.959999999999</c:v>
                </c:pt>
                <c:pt idx="101">
                  <c:v>41695.94</c:v>
                </c:pt>
                <c:pt idx="102">
                  <c:v>34979.42</c:v>
                </c:pt>
                <c:pt idx="103">
                  <c:v>41588.85</c:v>
                </c:pt>
                <c:pt idx="104">
                  <c:v>33438.879999999997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7-49D6-9E23-A96B6D7A2B7B}"/>
            </c:ext>
          </c:extLst>
        </c:ser>
        <c:ser>
          <c:idx val="2"/>
          <c:order val="2"/>
          <c:tx>
            <c:strRef>
              <c:f>attendance_after_ws_win!$G$1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attendance_after_ws_win!$B:$B</c15:sqref>
                  </c15:fullRef>
                </c:ext>
              </c:extLst>
              <c:f>attendance_after_ws_win!$B$2:$B$1048576</c:f>
              <c:strCache>
                <c:ptCount val="106"/>
                <c:pt idx="0">
                  <c:v>1886</c:v>
                </c:pt>
                <c:pt idx="1">
                  <c:v>1887</c:v>
                </c:pt>
                <c:pt idx="2">
                  <c:v>1888</c:v>
                </c:pt>
                <c:pt idx="3">
                  <c:v>1889</c:v>
                </c:pt>
                <c:pt idx="4">
                  <c:v>1911</c:v>
                </c:pt>
                <c:pt idx="5">
                  <c:v>1912</c:v>
                </c:pt>
                <c:pt idx="6">
                  <c:v>1913</c:v>
                </c:pt>
                <c:pt idx="7">
                  <c:v>1914</c:v>
                </c:pt>
                <c:pt idx="8">
                  <c:v>1917</c:v>
                </c:pt>
                <c:pt idx="9">
                  <c:v>1918</c:v>
                </c:pt>
                <c:pt idx="10">
                  <c:v>1919</c:v>
                </c:pt>
                <c:pt idx="11">
                  <c:v>1920</c:v>
                </c:pt>
                <c:pt idx="12">
                  <c:v>1921</c:v>
                </c:pt>
                <c:pt idx="13">
                  <c:v>1922</c:v>
                </c:pt>
                <c:pt idx="14">
                  <c:v>1923</c:v>
                </c:pt>
                <c:pt idx="15">
                  <c:v>1924</c:v>
                </c:pt>
                <c:pt idx="16">
                  <c:v>1925</c:v>
                </c:pt>
                <c:pt idx="17">
                  <c:v>1926</c:v>
                </c:pt>
                <c:pt idx="18">
                  <c:v>1927</c:v>
                </c:pt>
                <c:pt idx="19">
                  <c:v>1928</c:v>
                </c:pt>
                <c:pt idx="20">
                  <c:v>1929</c:v>
                </c:pt>
                <c:pt idx="21">
                  <c:v>1930</c:v>
                </c:pt>
                <c:pt idx="22">
                  <c:v>1931</c:v>
                </c:pt>
                <c:pt idx="23">
                  <c:v>1932</c:v>
                </c:pt>
                <c:pt idx="24">
                  <c:v>1933</c:v>
                </c:pt>
                <c:pt idx="25">
                  <c:v>1934</c:v>
                </c:pt>
                <c:pt idx="26">
                  <c:v>1935</c:v>
                </c:pt>
                <c:pt idx="27">
                  <c:v>1936</c:v>
                </c:pt>
                <c:pt idx="28">
                  <c:v>1937</c:v>
                </c:pt>
                <c:pt idx="29">
                  <c:v>1938</c:v>
                </c:pt>
                <c:pt idx="30">
                  <c:v>1939</c:v>
                </c:pt>
                <c:pt idx="31">
                  <c:v>1940</c:v>
                </c:pt>
                <c:pt idx="32">
                  <c:v>1941</c:v>
                </c:pt>
                <c:pt idx="33">
                  <c:v>1942</c:v>
                </c:pt>
                <c:pt idx="34">
                  <c:v>1943</c:v>
                </c:pt>
                <c:pt idx="35">
                  <c:v>1944</c:v>
                </c:pt>
                <c:pt idx="36">
                  <c:v>1945</c:v>
                </c:pt>
                <c:pt idx="37">
                  <c:v>1946</c:v>
                </c:pt>
                <c:pt idx="38">
                  <c:v>1947</c:v>
                </c:pt>
                <c:pt idx="39">
                  <c:v>1948</c:v>
                </c:pt>
                <c:pt idx="40">
                  <c:v>1949</c:v>
                </c:pt>
                <c:pt idx="41">
                  <c:v>1950</c:v>
                </c:pt>
                <c:pt idx="42">
                  <c:v>1951</c:v>
                </c:pt>
                <c:pt idx="43">
                  <c:v>1952</c:v>
                </c:pt>
                <c:pt idx="44">
                  <c:v>1953</c:v>
                </c:pt>
                <c:pt idx="45">
                  <c:v>1954</c:v>
                </c:pt>
                <c:pt idx="46">
                  <c:v>1955</c:v>
                </c:pt>
                <c:pt idx="47">
                  <c:v>1956</c:v>
                </c:pt>
                <c:pt idx="48">
                  <c:v>1957</c:v>
                </c:pt>
                <c:pt idx="49">
                  <c:v>1958</c:v>
                </c:pt>
                <c:pt idx="50">
                  <c:v>1959</c:v>
                </c:pt>
                <c:pt idx="51">
                  <c:v>1960</c:v>
                </c:pt>
                <c:pt idx="52">
                  <c:v>1961</c:v>
                </c:pt>
                <c:pt idx="53">
                  <c:v>1962</c:v>
                </c:pt>
                <c:pt idx="54">
                  <c:v>1963</c:v>
                </c:pt>
                <c:pt idx="55">
                  <c:v>1964</c:v>
                </c:pt>
                <c:pt idx="56">
                  <c:v>1965</c:v>
                </c:pt>
                <c:pt idx="57">
                  <c:v>1966</c:v>
                </c:pt>
                <c:pt idx="58">
                  <c:v>1967</c:v>
                </c:pt>
                <c:pt idx="59">
                  <c:v>1968</c:v>
                </c:pt>
                <c:pt idx="60">
                  <c:v>1969</c:v>
                </c:pt>
                <c:pt idx="61">
                  <c:v>1970</c:v>
                </c:pt>
                <c:pt idx="62">
                  <c:v>1971</c:v>
                </c:pt>
                <c:pt idx="63">
                  <c:v>1972</c:v>
                </c:pt>
                <c:pt idx="64">
                  <c:v>1973</c:v>
                </c:pt>
                <c:pt idx="65">
                  <c:v>1974</c:v>
                </c:pt>
                <c:pt idx="66">
                  <c:v>1975</c:v>
                </c:pt>
                <c:pt idx="67">
                  <c:v>1976</c:v>
                </c:pt>
                <c:pt idx="68">
                  <c:v>1977</c:v>
                </c:pt>
                <c:pt idx="69">
                  <c:v>1978</c:v>
                </c:pt>
                <c:pt idx="70">
                  <c:v>1979</c:v>
                </c:pt>
                <c:pt idx="71">
                  <c:v>1980</c:v>
                </c:pt>
                <c:pt idx="72">
                  <c:v>1981</c:v>
                </c:pt>
                <c:pt idx="73">
                  <c:v>1982</c:v>
                </c:pt>
                <c:pt idx="74">
                  <c:v>1983</c:v>
                </c:pt>
                <c:pt idx="75">
                  <c:v>1984</c:v>
                </c:pt>
                <c:pt idx="76">
                  <c:v>1985</c:v>
                </c:pt>
                <c:pt idx="77">
                  <c:v>1986</c:v>
                </c:pt>
                <c:pt idx="78">
                  <c:v>1987</c:v>
                </c:pt>
                <c:pt idx="79">
                  <c:v>1988</c:v>
                </c:pt>
                <c:pt idx="80">
                  <c:v>1989</c:v>
                </c:pt>
                <c:pt idx="81">
                  <c:v>1990</c:v>
                </c:pt>
                <c:pt idx="82">
                  <c:v>1991</c:v>
                </c:pt>
                <c:pt idx="83">
                  <c:v>1992</c:v>
                </c:pt>
                <c:pt idx="84">
                  <c:v>1993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attendance_after_ws_win!$G$2:$G$107</c15:sqref>
                  </c15:fullRef>
                </c:ext>
              </c:extLst>
              <c:f>attendance_after_ws_win!$G$3:$G$107</c:f>
              <c:numCache>
                <c:formatCode>General</c:formatCode>
                <c:ptCount val="105"/>
                <c:pt idx="0">
                  <c:v>205.88</c:v>
                </c:pt>
                <c:pt idx="1">
                  <c:v>118.89</c:v>
                </c:pt>
                <c:pt idx="2">
                  <c:v>152.33000000000001</c:v>
                </c:pt>
                <c:pt idx="3">
                  <c:v>7470.13</c:v>
                </c:pt>
                <c:pt idx="4">
                  <c:v>6348</c:v>
                </c:pt>
                <c:pt idx="5">
                  <c:v>4773.08</c:v>
                </c:pt>
                <c:pt idx="6">
                  <c:v>4885.55</c:v>
                </c:pt>
                <c:pt idx="7">
                  <c:v>696.43</c:v>
                </c:pt>
                <c:pt idx="8">
                  <c:v>1015.15</c:v>
                </c:pt>
                <c:pt idx="9">
                  <c:v>2396.1</c:v>
                </c:pt>
                <c:pt idx="10">
                  <c:v>3363.64</c:v>
                </c:pt>
                <c:pt idx="11">
                  <c:v>12316.46</c:v>
                </c:pt>
                <c:pt idx="12">
                  <c:v>13090.91</c:v>
                </c:pt>
                <c:pt idx="13">
                  <c:v>19597.23</c:v>
                </c:pt>
                <c:pt idx="14">
                  <c:v>5631.58</c:v>
                </c:pt>
                <c:pt idx="15">
                  <c:v>1734.18</c:v>
                </c:pt>
                <c:pt idx="16">
                  <c:v>7814.31</c:v>
                </c:pt>
                <c:pt idx="17">
                  <c:v>11470.97</c:v>
                </c:pt>
                <c:pt idx="18">
                  <c:v>11294.09</c:v>
                </c:pt>
                <c:pt idx="19">
                  <c:v>3026.32</c:v>
                </c:pt>
                <c:pt idx="20">
                  <c:v>4853.33</c:v>
                </c:pt>
                <c:pt idx="21">
                  <c:v>2942.56</c:v>
                </c:pt>
                <c:pt idx="22">
                  <c:v>13513.13</c:v>
                </c:pt>
                <c:pt idx="23">
                  <c:v>5034.3100000000004</c:v>
                </c:pt>
                <c:pt idx="24">
                  <c:v>7470.62</c:v>
                </c:pt>
                <c:pt idx="25">
                  <c:v>6385.71</c:v>
                </c:pt>
                <c:pt idx="26">
                  <c:v>13153.3</c:v>
                </c:pt>
                <c:pt idx="27">
                  <c:v>12314.76</c:v>
                </c:pt>
                <c:pt idx="28">
                  <c:v>12537.49</c:v>
                </c:pt>
                <c:pt idx="29">
                  <c:v>14587.16</c:v>
                </c:pt>
                <c:pt idx="30">
                  <c:v>8268.81</c:v>
                </c:pt>
                <c:pt idx="31">
                  <c:v>12954.79</c:v>
                </c:pt>
                <c:pt idx="32">
                  <c:v>6715.04</c:v>
                </c:pt>
                <c:pt idx="33">
                  <c:v>13412.87</c:v>
                </c:pt>
                <c:pt idx="34">
                  <c:v>7304.58</c:v>
                </c:pt>
                <c:pt idx="35">
                  <c:v>19397.560000000001</c:v>
                </c:pt>
                <c:pt idx="36">
                  <c:v>16079.13</c:v>
                </c:pt>
                <c:pt idx="37">
                  <c:v>31314.22</c:v>
                </c:pt>
                <c:pt idx="38">
                  <c:v>30189.51</c:v>
                </c:pt>
                <c:pt idx="39">
                  <c:v>26063.66</c:v>
                </c:pt>
                <c:pt idx="40">
                  <c:v>24750.37</c:v>
                </c:pt>
                <c:pt idx="41">
                  <c:v>20694.79</c:v>
                </c:pt>
                <c:pt idx="42">
                  <c:v>19439.18</c:v>
                </c:pt>
                <c:pt idx="43">
                  <c:v>18910.91</c:v>
                </c:pt>
                <c:pt idx="44">
                  <c:v>10445.59</c:v>
                </c:pt>
                <c:pt idx="45">
                  <c:v>16066.92</c:v>
                </c:pt>
                <c:pt idx="46">
                  <c:v>19517.95</c:v>
                </c:pt>
                <c:pt idx="47">
                  <c:v>25361.08</c:v>
                </c:pt>
                <c:pt idx="48">
                  <c:v>21576.65</c:v>
                </c:pt>
                <c:pt idx="49">
                  <c:v>29467.38</c:v>
                </c:pt>
                <c:pt idx="50">
                  <c:v>15574</c:v>
                </c:pt>
                <c:pt idx="51">
                  <c:v>20079.060000000001</c:v>
                </c:pt>
                <c:pt idx="52">
                  <c:v>18256.71</c:v>
                </c:pt>
                <c:pt idx="53">
                  <c:v>27586.400000000001</c:v>
                </c:pt>
                <c:pt idx="54">
                  <c:v>15245.57</c:v>
                </c:pt>
                <c:pt idx="55">
                  <c:v>32309.33</c:v>
                </c:pt>
                <c:pt idx="56">
                  <c:v>11102.62</c:v>
                </c:pt>
                <c:pt idx="57">
                  <c:v>24834.16</c:v>
                </c:pt>
                <c:pt idx="58">
                  <c:v>19556.330000000002</c:v>
                </c:pt>
                <c:pt idx="59">
                  <c:v>32895.800000000003</c:v>
                </c:pt>
                <c:pt idx="60">
                  <c:v>13416.04</c:v>
                </c:pt>
                <c:pt idx="61">
                  <c:v>19499.599999999999</c:v>
                </c:pt>
                <c:pt idx="62">
                  <c:v>12346.23</c:v>
                </c:pt>
                <c:pt idx="63">
                  <c:v>10329.16</c:v>
                </c:pt>
                <c:pt idx="64">
                  <c:v>13303.67</c:v>
                </c:pt>
                <c:pt idx="65">
                  <c:v>32465.53</c:v>
                </c:pt>
                <c:pt idx="66">
                  <c:v>31185.57</c:v>
                </c:pt>
                <c:pt idx="67">
                  <c:v>29930.85</c:v>
                </c:pt>
                <c:pt idx="68">
                  <c:v>31405.53</c:v>
                </c:pt>
                <c:pt idx="69">
                  <c:v>20268.599999999999</c:v>
                </c:pt>
                <c:pt idx="70">
                  <c:v>29798.44</c:v>
                </c:pt>
                <c:pt idx="71">
                  <c:v>44554.09</c:v>
                </c:pt>
                <c:pt idx="72">
                  <c:v>28934.19</c:v>
                </c:pt>
                <c:pt idx="73">
                  <c:v>25150.69</c:v>
                </c:pt>
                <c:pt idx="74">
                  <c:v>28229.75</c:v>
                </c:pt>
                <c:pt idx="75">
                  <c:v>28651.41</c:v>
                </c:pt>
                <c:pt idx="76">
                  <c:v>37371.86</c:v>
                </c:pt>
                <c:pt idx="77">
                  <c:v>37407.4</c:v>
                </c:pt>
                <c:pt idx="78">
                  <c:v>36343.620000000003</c:v>
                </c:pt>
                <c:pt idx="79">
                  <c:v>35842.01</c:v>
                </c:pt>
                <c:pt idx="80">
                  <c:v>29288.6</c:v>
                </c:pt>
                <c:pt idx="81">
                  <c:v>30644.3</c:v>
                </c:pt>
                <c:pt idx="82">
                  <c:v>50095.64</c:v>
                </c:pt>
                <c:pt idx="83">
                  <c:v>49287.27</c:v>
                </c:pt>
                <c:pt idx="84">
                  <c:v>35787.730000000003</c:v>
                </c:pt>
                <c:pt idx="85">
                  <c:v>32263.040000000001</c:v>
                </c:pt>
                <c:pt idx="86">
                  <c:v>21609.81</c:v>
                </c:pt>
                <c:pt idx="87">
                  <c:v>40657.519999999997</c:v>
                </c:pt>
                <c:pt idx="88">
                  <c:v>40345.71</c:v>
                </c:pt>
                <c:pt idx="89">
                  <c:v>40810.589999999997</c:v>
                </c:pt>
                <c:pt idx="90">
                  <c:v>39493.519999999997</c:v>
                </c:pt>
                <c:pt idx="91">
                  <c:v>37330.410000000003</c:v>
                </c:pt>
                <c:pt idx="92">
                  <c:v>21538.81</c:v>
                </c:pt>
                <c:pt idx="93">
                  <c:v>35158</c:v>
                </c:pt>
                <c:pt idx="94">
                  <c:v>36511.279999999999</c:v>
                </c:pt>
                <c:pt idx="95">
                  <c:v>43854.07</c:v>
                </c:pt>
                <c:pt idx="96">
                  <c:v>37632.720000000001</c:v>
                </c:pt>
                <c:pt idx="97">
                  <c:v>44453</c:v>
                </c:pt>
                <c:pt idx="98">
                  <c:v>46491.44</c:v>
                </c:pt>
                <c:pt idx="99">
                  <c:v>41818.559999999998</c:v>
                </c:pt>
                <c:pt idx="100">
                  <c:v>40272.949999999997</c:v>
                </c:pt>
                <c:pt idx="101">
                  <c:v>41071.56</c:v>
                </c:pt>
                <c:pt idx="102">
                  <c:v>36494.93</c:v>
                </c:pt>
                <c:pt idx="103">
                  <c:v>41677.56</c:v>
                </c:pt>
                <c:pt idx="104">
                  <c:v>31576.69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7-49D6-9E23-A96B6D7A2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565616"/>
        <c:axId val="19615675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attendance_after_ws_win!$B$1</c15:sqref>
                        </c15:formulaRef>
                      </c:ext>
                    </c:extLst>
                    <c:strCache>
                      <c:ptCount val="1"/>
                      <c:pt idx="0">
                        <c:v>win_year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attendance_after_ws_win!$B:$B</c15:sqref>
                        </c15:fullRef>
                        <c15:formulaRef>
                          <c15:sqref>attendance_after_ws_win!$B$2:$B$1048576</c15:sqref>
                        </c15:formulaRef>
                      </c:ext>
                    </c:extLst>
                    <c:strCache>
                      <c:ptCount val="106"/>
                      <c:pt idx="0">
                        <c:v>1886</c:v>
                      </c:pt>
                      <c:pt idx="1">
                        <c:v>1887</c:v>
                      </c:pt>
                      <c:pt idx="2">
                        <c:v>1888</c:v>
                      </c:pt>
                      <c:pt idx="3">
                        <c:v>1889</c:v>
                      </c:pt>
                      <c:pt idx="4">
                        <c:v>1911</c:v>
                      </c:pt>
                      <c:pt idx="5">
                        <c:v>1912</c:v>
                      </c:pt>
                      <c:pt idx="6">
                        <c:v>1913</c:v>
                      </c:pt>
                      <c:pt idx="7">
                        <c:v>1914</c:v>
                      </c:pt>
                      <c:pt idx="8">
                        <c:v>1917</c:v>
                      </c:pt>
                      <c:pt idx="9">
                        <c:v>1918</c:v>
                      </c:pt>
                      <c:pt idx="10">
                        <c:v>1919</c:v>
                      </c:pt>
                      <c:pt idx="11">
                        <c:v>1920</c:v>
                      </c:pt>
                      <c:pt idx="12">
                        <c:v>1921</c:v>
                      </c:pt>
                      <c:pt idx="13">
                        <c:v>1922</c:v>
                      </c:pt>
                      <c:pt idx="14">
                        <c:v>1923</c:v>
                      </c:pt>
                      <c:pt idx="15">
                        <c:v>1924</c:v>
                      </c:pt>
                      <c:pt idx="16">
                        <c:v>1925</c:v>
                      </c:pt>
                      <c:pt idx="17">
                        <c:v>1926</c:v>
                      </c:pt>
                      <c:pt idx="18">
                        <c:v>1927</c:v>
                      </c:pt>
                      <c:pt idx="19">
                        <c:v>1928</c:v>
                      </c:pt>
                      <c:pt idx="20">
                        <c:v>1929</c:v>
                      </c:pt>
                      <c:pt idx="21">
                        <c:v>1930</c:v>
                      </c:pt>
                      <c:pt idx="22">
                        <c:v>1931</c:v>
                      </c:pt>
                      <c:pt idx="23">
                        <c:v>1932</c:v>
                      </c:pt>
                      <c:pt idx="24">
                        <c:v>1933</c:v>
                      </c:pt>
                      <c:pt idx="25">
                        <c:v>1934</c:v>
                      </c:pt>
                      <c:pt idx="26">
                        <c:v>1935</c:v>
                      </c:pt>
                      <c:pt idx="27">
                        <c:v>1936</c:v>
                      </c:pt>
                      <c:pt idx="28">
                        <c:v>1937</c:v>
                      </c:pt>
                      <c:pt idx="29">
                        <c:v>1938</c:v>
                      </c:pt>
                      <c:pt idx="30">
                        <c:v>1939</c:v>
                      </c:pt>
                      <c:pt idx="31">
                        <c:v>1940</c:v>
                      </c:pt>
                      <c:pt idx="32">
                        <c:v>1941</c:v>
                      </c:pt>
                      <c:pt idx="33">
                        <c:v>1942</c:v>
                      </c:pt>
                      <c:pt idx="34">
                        <c:v>1943</c:v>
                      </c:pt>
                      <c:pt idx="35">
                        <c:v>1944</c:v>
                      </c:pt>
                      <c:pt idx="36">
                        <c:v>1945</c:v>
                      </c:pt>
                      <c:pt idx="37">
                        <c:v>1946</c:v>
                      </c:pt>
                      <c:pt idx="38">
                        <c:v>1947</c:v>
                      </c:pt>
                      <c:pt idx="39">
                        <c:v>1948</c:v>
                      </c:pt>
                      <c:pt idx="40">
                        <c:v>1949</c:v>
                      </c:pt>
                      <c:pt idx="41">
                        <c:v>1950</c:v>
                      </c:pt>
                      <c:pt idx="42">
                        <c:v>1951</c:v>
                      </c:pt>
                      <c:pt idx="43">
                        <c:v>1952</c:v>
                      </c:pt>
                      <c:pt idx="44">
                        <c:v>1953</c:v>
                      </c:pt>
                      <c:pt idx="45">
                        <c:v>1954</c:v>
                      </c:pt>
                      <c:pt idx="46">
                        <c:v>1955</c:v>
                      </c:pt>
                      <c:pt idx="47">
                        <c:v>1956</c:v>
                      </c:pt>
                      <c:pt idx="48">
                        <c:v>1957</c:v>
                      </c:pt>
                      <c:pt idx="49">
                        <c:v>1958</c:v>
                      </c:pt>
                      <c:pt idx="50">
                        <c:v>1959</c:v>
                      </c:pt>
                      <c:pt idx="51">
                        <c:v>1960</c:v>
                      </c:pt>
                      <c:pt idx="52">
                        <c:v>1961</c:v>
                      </c:pt>
                      <c:pt idx="53">
                        <c:v>1962</c:v>
                      </c:pt>
                      <c:pt idx="54">
                        <c:v>1963</c:v>
                      </c:pt>
                      <c:pt idx="55">
                        <c:v>1964</c:v>
                      </c:pt>
                      <c:pt idx="56">
                        <c:v>1965</c:v>
                      </c:pt>
                      <c:pt idx="57">
                        <c:v>1966</c:v>
                      </c:pt>
                      <c:pt idx="58">
                        <c:v>1967</c:v>
                      </c:pt>
                      <c:pt idx="59">
                        <c:v>1968</c:v>
                      </c:pt>
                      <c:pt idx="60">
                        <c:v>1969</c:v>
                      </c:pt>
                      <c:pt idx="61">
                        <c:v>1970</c:v>
                      </c:pt>
                      <c:pt idx="62">
                        <c:v>1971</c:v>
                      </c:pt>
                      <c:pt idx="63">
                        <c:v>1972</c:v>
                      </c:pt>
                      <c:pt idx="64">
                        <c:v>1973</c:v>
                      </c:pt>
                      <c:pt idx="65">
                        <c:v>1974</c:v>
                      </c:pt>
                      <c:pt idx="66">
                        <c:v>1975</c:v>
                      </c:pt>
                      <c:pt idx="67">
                        <c:v>1976</c:v>
                      </c:pt>
                      <c:pt idx="68">
                        <c:v>1977</c:v>
                      </c:pt>
                      <c:pt idx="69">
                        <c:v>1978</c:v>
                      </c:pt>
                      <c:pt idx="70">
                        <c:v>1979</c:v>
                      </c:pt>
                      <c:pt idx="71">
                        <c:v>1980</c:v>
                      </c:pt>
                      <c:pt idx="72">
                        <c:v>1981</c:v>
                      </c:pt>
                      <c:pt idx="73">
                        <c:v>1982</c:v>
                      </c:pt>
                      <c:pt idx="74">
                        <c:v>1983</c:v>
                      </c:pt>
                      <c:pt idx="75">
                        <c:v>1984</c:v>
                      </c:pt>
                      <c:pt idx="76">
                        <c:v>1985</c:v>
                      </c:pt>
                      <c:pt idx="77">
                        <c:v>1986</c:v>
                      </c:pt>
                      <c:pt idx="78">
                        <c:v>1987</c:v>
                      </c:pt>
                      <c:pt idx="79">
                        <c:v>1988</c:v>
                      </c:pt>
                      <c:pt idx="80">
                        <c:v>1989</c:v>
                      </c:pt>
                      <c:pt idx="81">
                        <c:v>1990</c:v>
                      </c:pt>
                      <c:pt idx="82">
                        <c:v>1991</c:v>
                      </c:pt>
                      <c:pt idx="83">
                        <c:v>1992</c:v>
                      </c:pt>
                      <c:pt idx="84">
                        <c:v>1993</c:v>
                      </c:pt>
                      <c:pt idx="85">
                        <c:v>1995</c:v>
                      </c:pt>
                      <c:pt idx="86">
                        <c:v>1996</c:v>
                      </c:pt>
                      <c:pt idx="87">
                        <c:v>1997</c:v>
                      </c:pt>
                      <c:pt idx="88">
                        <c:v>1998</c:v>
                      </c:pt>
                      <c:pt idx="89">
                        <c:v>1999</c:v>
                      </c:pt>
                      <c:pt idx="90">
                        <c:v>2000</c:v>
                      </c:pt>
                      <c:pt idx="91">
                        <c:v>2001</c:v>
                      </c:pt>
                      <c:pt idx="92">
                        <c:v>2002</c:v>
                      </c:pt>
                      <c:pt idx="93">
                        <c:v>2003</c:v>
                      </c:pt>
                      <c:pt idx="94">
                        <c:v>2004</c:v>
                      </c:pt>
                      <c:pt idx="95">
                        <c:v>2005</c:v>
                      </c:pt>
                      <c:pt idx="96">
                        <c:v>2006</c:v>
                      </c:pt>
                      <c:pt idx="97">
                        <c:v>2007</c:v>
                      </c:pt>
                      <c:pt idx="98">
                        <c:v>2008</c:v>
                      </c:pt>
                      <c:pt idx="99">
                        <c:v>2009</c:v>
                      </c:pt>
                      <c:pt idx="100">
                        <c:v>2010</c:v>
                      </c:pt>
                      <c:pt idx="101">
                        <c:v>2011</c:v>
                      </c:pt>
                      <c:pt idx="102">
                        <c:v>2012</c:v>
                      </c:pt>
                      <c:pt idx="103">
                        <c:v>2013</c:v>
                      </c:pt>
                      <c:pt idx="104">
                        <c:v>2014</c:v>
                      </c:pt>
                      <c:pt idx="105">
                        <c:v>2015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attendance_after_ws_win!$B$2:$B$107</c15:sqref>
                        </c15:fullRef>
                        <c15:formulaRef>
                          <c15:sqref>attendance_after_ws_win!$B$3:$B$107</c15:sqref>
                        </c15:formulaRef>
                      </c:ext>
                    </c:extLst>
                    <c:numCache>
                      <c:formatCode>General</c:formatCode>
                      <c:ptCount val="105"/>
                      <c:pt idx="0">
                        <c:v>1887</c:v>
                      </c:pt>
                      <c:pt idx="1">
                        <c:v>1888</c:v>
                      </c:pt>
                      <c:pt idx="2">
                        <c:v>1889</c:v>
                      </c:pt>
                      <c:pt idx="3">
                        <c:v>1911</c:v>
                      </c:pt>
                      <c:pt idx="4">
                        <c:v>1912</c:v>
                      </c:pt>
                      <c:pt idx="5">
                        <c:v>1913</c:v>
                      </c:pt>
                      <c:pt idx="6">
                        <c:v>1914</c:v>
                      </c:pt>
                      <c:pt idx="7">
                        <c:v>1917</c:v>
                      </c:pt>
                      <c:pt idx="8">
                        <c:v>1918</c:v>
                      </c:pt>
                      <c:pt idx="9">
                        <c:v>1919</c:v>
                      </c:pt>
                      <c:pt idx="10">
                        <c:v>1920</c:v>
                      </c:pt>
                      <c:pt idx="11">
                        <c:v>1921</c:v>
                      </c:pt>
                      <c:pt idx="12">
                        <c:v>1922</c:v>
                      </c:pt>
                      <c:pt idx="13">
                        <c:v>1923</c:v>
                      </c:pt>
                      <c:pt idx="14">
                        <c:v>1924</c:v>
                      </c:pt>
                      <c:pt idx="15">
                        <c:v>1925</c:v>
                      </c:pt>
                      <c:pt idx="16">
                        <c:v>1926</c:v>
                      </c:pt>
                      <c:pt idx="17">
                        <c:v>1927</c:v>
                      </c:pt>
                      <c:pt idx="18">
                        <c:v>1928</c:v>
                      </c:pt>
                      <c:pt idx="19">
                        <c:v>1929</c:v>
                      </c:pt>
                      <c:pt idx="20">
                        <c:v>1930</c:v>
                      </c:pt>
                      <c:pt idx="21">
                        <c:v>1931</c:v>
                      </c:pt>
                      <c:pt idx="22">
                        <c:v>1932</c:v>
                      </c:pt>
                      <c:pt idx="23">
                        <c:v>1933</c:v>
                      </c:pt>
                      <c:pt idx="24">
                        <c:v>1934</c:v>
                      </c:pt>
                      <c:pt idx="25">
                        <c:v>1935</c:v>
                      </c:pt>
                      <c:pt idx="26">
                        <c:v>1936</c:v>
                      </c:pt>
                      <c:pt idx="27">
                        <c:v>1937</c:v>
                      </c:pt>
                      <c:pt idx="28">
                        <c:v>1938</c:v>
                      </c:pt>
                      <c:pt idx="29">
                        <c:v>1939</c:v>
                      </c:pt>
                      <c:pt idx="30">
                        <c:v>1940</c:v>
                      </c:pt>
                      <c:pt idx="31">
                        <c:v>1941</c:v>
                      </c:pt>
                      <c:pt idx="32">
                        <c:v>1942</c:v>
                      </c:pt>
                      <c:pt idx="33">
                        <c:v>1943</c:v>
                      </c:pt>
                      <c:pt idx="34">
                        <c:v>1944</c:v>
                      </c:pt>
                      <c:pt idx="35">
                        <c:v>1945</c:v>
                      </c:pt>
                      <c:pt idx="36">
                        <c:v>1946</c:v>
                      </c:pt>
                      <c:pt idx="37">
                        <c:v>1947</c:v>
                      </c:pt>
                      <c:pt idx="38">
                        <c:v>1948</c:v>
                      </c:pt>
                      <c:pt idx="39">
                        <c:v>1949</c:v>
                      </c:pt>
                      <c:pt idx="40">
                        <c:v>1950</c:v>
                      </c:pt>
                      <c:pt idx="41">
                        <c:v>1951</c:v>
                      </c:pt>
                      <c:pt idx="42">
                        <c:v>1952</c:v>
                      </c:pt>
                      <c:pt idx="43">
                        <c:v>1953</c:v>
                      </c:pt>
                      <c:pt idx="44">
                        <c:v>1954</c:v>
                      </c:pt>
                      <c:pt idx="45">
                        <c:v>1955</c:v>
                      </c:pt>
                      <c:pt idx="46">
                        <c:v>1956</c:v>
                      </c:pt>
                      <c:pt idx="47">
                        <c:v>1957</c:v>
                      </c:pt>
                      <c:pt idx="48">
                        <c:v>1958</c:v>
                      </c:pt>
                      <c:pt idx="49">
                        <c:v>1959</c:v>
                      </c:pt>
                      <c:pt idx="50">
                        <c:v>1960</c:v>
                      </c:pt>
                      <c:pt idx="51">
                        <c:v>1961</c:v>
                      </c:pt>
                      <c:pt idx="52">
                        <c:v>1962</c:v>
                      </c:pt>
                      <c:pt idx="53">
                        <c:v>1963</c:v>
                      </c:pt>
                      <c:pt idx="54">
                        <c:v>1964</c:v>
                      </c:pt>
                      <c:pt idx="55">
                        <c:v>1965</c:v>
                      </c:pt>
                      <c:pt idx="56">
                        <c:v>1966</c:v>
                      </c:pt>
                      <c:pt idx="57">
                        <c:v>1967</c:v>
                      </c:pt>
                      <c:pt idx="58">
                        <c:v>1968</c:v>
                      </c:pt>
                      <c:pt idx="59">
                        <c:v>1969</c:v>
                      </c:pt>
                      <c:pt idx="60">
                        <c:v>1970</c:v>
                      </c:pt>
                      <c:pt idx="61">
                        <c:v>1971</c:v>
                      </c:pt>
                      <c:pt idx="62">
                        <c:v>1972</c:v>
                      </c:pt>
                      <c:pt idx="63">
                        <c:v>1973</c:v>
                      </c:pt>
                      <c:pt idx="64">
                        <c:v>1974</c:v>
                      </c:pt>
                      <c:pt idx="65">
                        <c:v>1975</c:v>
                      </c:pt>
                      <c:pt idx="66">
                        <c:v>1976</c:v>
                      </c:pt>
                      <c:pt idx="67">
                        <c:v>1977</c:v>
                      </c:pt>
                      <c:pt idx="68">
                        <c:v>1978</c:v>
                      </c:pt>
                      <c:pt idx="69">
                        <c:v>1979</c:v>
                      </c:pt>
                      <c:pt idx="70">
                        <c:v>1980</c:v>
                      </c:pt>
                      <c:pt idx="71">
                        <c:v>1981</c:v>
                      </c:pt>
                      <c:pt idx="72">
                        <c:v>1982</c:v>
                      </c:pt>
                      <c:pt idx="73">
                        <c:v>1983</c:v>
                      </c:pt>
                      <c:pt idx="74">
                        <c:v>1984</c:v>
                      </c:pt>
                      <c:pt idx="75">
                        <c:v>1985</c:v>
                      </c:pt>
                      <c:pt idx="76">
                        <c:v>1986</c:v>
                      </c:pt>
                      <c:pt idx="77">
                        <c:v>1987</c:v>
                      </c:pt>
                      <c:pt idx="78">
                        <c:v>1988</c:v>
                      </c:pt>
                      <c:pt idx="79">
                        <c:v>1989</c:v>
                      </c:pt>
                      <c:pt idx="80">
                        <c:v>1990</c:v>
                      </c:pt>
                      <c:pt idx="81">
                        <c:v>1991</c:v>
                      </c:pt>
                      <c:pt idx="82">
                        <c:v>1992</c:v>
                      </c:pt>
                      <c:pt idx="83">
                        <c:v>1993</c:v>
                      </c:pt>
                      <c:pt idx="84">
                        <c:v>1995</c:v>
                      </c:pt>
                      <c:pt idx="85">
                        <c:v>1996</c:v>
                      </c:pt>
                      <c:pt idx="86">
                        <c:v>1997</c:v>
                      </c:pt>
                      <c:pt idx="87">
                        <c:v>1998</c:v>
                      </c:pt>
                      <c:pt idx="88">
                        <c:v>1999</c:v>
                      </c:pt>
                      <c:pt idx="89">
                        <c:v>2000</c:v>
                      </c:pt>
                      <c:pt idx="90">
                        <c:v>2001</c:v>
                      </c:pt>
                      <c:pt idx="91">
                        <c:v>2002</c:v>
                      </c:pt>
                      <c:pt idx="92">
                        <c:v>2003</c:v>
                      </c:pt>
                      <c:pt idx="93">
                        <c:v>2004</c:v>
                      </c:pt>
                      <c:pt idx="94">
                        <c:v>2005</c:v>
                      </c:pt>
                      <c:pt idx="95">
                        <c:v>2006</c:v>
                      </c:pt>
                      <c:pt idx="96">
                        <c:v>2007</c:v>
                      </c:pt>
                      <c:pt idx="97">
                        <c:v>2008</c:v>
                      </c:pt>
                      <c:pt idx="98">
                        <c:v>2009</c:v>
                      </c:pt>
                      <c:pt idx="99">
                        <c:v>2010</c:v>
                      </c:pt>
                      <c:pt idx="100">
                        <c:v>2011</c:v>
                      </c:pt>
                      <c:pt idx="101">
                        <c:v>2012</c:v>
                      </c:pt>
                      <c:pt idx="102">
                        <c:v>2013</c:v>
                      </c:pt>
                      <c:pt idx="103">
                        <c:v>2014</c:v>
                      </c:pt>
                      <c:pt idx="104">
                        <c:v>2015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B17-49D6-9E23-A96B6D7A2B7B}"/>
                  </c:ext>
                </c:extLst>
              </c15:ser>
            </c15:filteredBarSeries>
          </c:ext>
        </c:extLst>
      </c:barChart>
      <c:catAx>
        <c:axId val="19615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7536"/>
        <c:crosses val="autoZero"/>
        <c:auto val="1"/>
        <c:lblAlgn val="ctr"/>
        <c:lblOffset val="100"/>
        <c:noMultiLvlLbl val="0"/>
      </c:catAx>
      <c:valAx>
        <c:axId val="19615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attendance_after_ws_win!$H$1</c:f>
              <c:strCache>
                <c:ptCount val="1"/>
                <c:pt idx="0">
                  <c:v>attendance_growth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attendance_after_ws_win!$E$2:$E$107</c:f>
              <c:numCache>
                <c:formatCode>General</c:formatCode>
                <c:ptCount val="106"/>
                <c:pt idx="0">
                  <c:v>1887</c:v>
                </c:pt>
                <c:pt idx="1">
                  <c:v>1888</c:v>
                </c:pt>
                <c:pt idx="2">
                  <c:v>1889</c:v>
                </c:pt>
                <c:pt idx="3">
                  <c:v>1890</c:v>
                </c:pt>
                <c:pt idx="4">
                  <c:v>1912</c:v>
                </c:pt>
                <c:pt idx="5">
                  <c:v>1913</c:v>
                </c:pt>
                <c:pt idx="6">
                  <c:v>1914</c:v>
                </c:pt>
                <c:pt idx="7">
                  <c:v>1915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1996</c:v>
                </c:pt>
                <c:pt idx="86">
                  <c:v>1997</c:v>
                </c:pt>
                <c:pt idx="87">
                  <c:v>1998</c:v>
                </c:pt>
                <c:pt idx="88">
                  <c:v>1999</c:v>
                </c:pt>
                <c:pt idx="89">
                  <c:v>2000</c:v>
                </c:pt>
                <c:pt idx="90">
                  <c:v>2001</c:v>
                </c:pt>
                <c:pt idx="91">
                  <c:v>2002</c:v>
                </c:pt>
                <c:pt idx="92">
                  <c:v>2003</c:v>
                </c:pt>
                <c:pt idx="93">
                  <c:v>2004</c:v>
                </c:pt>
                <c:pt idx="94">
                  <c:v>2005</c:v>
                </c:pt>
                <c:pt idx="95">
                  <c:v>2006</c:v>
                </c:pt>
                <c:pt idx="96">
                  <c:v>2007</c:v>
                </c:pt>
                <c:pt idx="97">
                  <c:v>2008</c:v>
                </c:pt>
                <c:pt idx="98">
                  <c:v>2009</c:v>
                </c:pt>
                <c:pt idx="99">
                  <c:v>2010</c:v>
                </c:pt>
                <c:pt idx="100">
                  <c:v>2011</c:v>
                </c:pt>
                <c:pt idx="101">
                  <c:v>2012</c:v>
                </c:pt>
                <c:pt idx="102">
                  <c:v>2013</c:v>
                </c:pt>
                <c:pt idx="103">
                  <c:v>2014</c:v>
                </c:pt>
                <c:pt idx="104">
                  <c:v>2015</c:v>
                </c:pt>
                <c:pt idx="105">
                  <c:v>2016</c:v>
                </c:pt>
              </c:numCache>
            </c:numRef>
          </c:cat>
          <c:val>
            <c:numRef>
              <c:f>attendance_after_ws_win!$H$2:$H$107</c:f>
              <c:numCache>
                <c:formatCode>General</c:formatCode>
                <c:ptCount val="106"/>
                <c:pt idx="0">
                  <c:v>-265.95</c:v>
                </c:pt>
                <c:pt idx="1">
                  <c:v>-63.47</c:v>
                </c:pt>
                <c:pt idx="2">
                  <c:v>-622.54</c:v>
                </c:pt>
                <c:pt idx="3">
                  <c:v>33.44</c:v>
                </c:pt>
                <c:pt idx="4">
                  <c:v>5856.8</c:v>
                </c:pt>
                <c:pt idx="5">
                  <c:v>-2178.2800000000002</c:v>
                </c:pt>
                <c:pt idx="6">
                  <c:v>-2680.87</c:v>
                </c:pt>
                <c:pt idx="7">
                  <c:v>-1094.98</c:v>
                </c:pt>
                <c:pt idx="8">
                  <c:v>-8683.32</c:v>
                </c:pt>
                <c:pt idx="9">
                  <c:v>643.72</c:v>
                </c:pt>
                <c:pt idx="10">
                  <c:v>-1677.49</c:v>
                </c:pt>
                <c:pt idx="11">
                  <c:v>-379.95</c:v>
                </c:pt>
                <c:pt idx="12">
                  <c:v>-2107.59</c:v>
                </c:pt>
                <c:pt idx="13">
                  <c:v>774.45</c:v>
                </c:pt>
                <c:pt idx="14">
                  <c:v>-1168.56</c:v>
                </c:pt>
                <c:pt idx="15">
                  <c:v>1346.77</c:v>
                </c:pt>
                <c:pt idx="16">
                  <c:v>-7491.18</c:v>
                </c:pt>
                <c:pt idx="17">
                  <c:v>4279.13</c:v>
                </c:pt>
                <c:pt idx="18">
                  <c:v>-7855.54</c:v>
                </c:pt>
                <c:pt idx="19">
                  <c:v>-176.88</c:v>
                </c:pt>
                <c:pt idx="20">
                  <c:v>-1000.71</c:v>
                </c:pt>
                <c:pt idx="21">
                  <c:v>1827.01</c:v>
                </c:pt>
                <c:pt idx="22">
                  <c:v>-2292.6999999999998</c:v>
                </c:pt>
                <c:pt idx="23">
                  <c:v>3618.9</c:v>
                </c:pt>
                <c:pt idx="24">
                  <c:v>-3712.44</c:v>
                </c:pt>
                <c:pt idx="25">
                  <c:v>5403.43</c:v>
                </c:pt>
                <c:pt idx="26">
                  <c:v>-2519.35</c:v>
                </c:pt>
                <c:pt idx="27">
                  <c:v>-708.54</c:v>
                </c:pt>
                <c:pt idx="28">
                  <c:v>-838.54</c:v>
                </c:pt>
                <c:pt idx="29">
                  <c:v>222.73</c:v>
                </c:pt>
                <c:pt idx="30">
                  <c:v>2049.67</c:v>
                </c:pt>
                <c:pt idx="31">
                  <c:v>-2855.57</c:v>
                </c:pt>
                <c:pt idx="32">
                  <c:v>-553.9</c:v>
                </c:pt>
                <c:pt idx="33">
                  <c:v>-117.5</c:v>
                </c:pt>
                <c:pt idx="34">
                  <c:v>4373.43</c:v>
                </c:pt>
                <c:pt idx="35">
                  <c:v>531.70000000000005</c:v>
                </c:pt>
                <c:pt idx="36">
                  <c:v>2977.26</c:v>
                </c:pt>
                <c:pt idx="37">
                  <c:v>2488.27</c:v>
                </c:pt>
                <c:pt idx="38">
                  <c:v>2417.9899999999998</c:v>
                </c:pt>
                <c:pt idx="39">
                  <c:v>-3481.25</c:v>
                </c:pt>
                <c:pt idx="40">
                  <c:v>-3697.13</c:v>
                </c:pt>
                <c:pt idx="41">
                  <c:v>-1313.29</c:v>
                </c:pt>
                <c:pt idx="42">
                  <c:v>-4055.58</c:v>
                </c:pt>
                <c:pt idx="43">
                  <c:v>-1255.6099999999999</c:v>
                </c:pt>
                <c:pt idx="44">
                  <c:v>-528.27</c:v>
                </c:pt>
                <c:pt idx="45">
                  <c:v>-4884.29</c:v>
                </c:pt>
                <c:pt idx="46">
                  <c:v>2800.83</c:v>
                </c:pt>
                <c:pt idx="47">
                  <c:v>-1694.79</c:v>
                </c:pt>
                <c:pt idx="48">
                  <c:v>-3036.88</c:v>
                </c:pt>
                <c:pt idx="49">
                  <c:v>3675.61</c:v>
                </c:pt>
                <c:pt idx="50">
                  <c:v>2755.53</c:v>
                </c:pt>
                <c:pt idx="51">
                  <c:v>-6311.76</c:v>
                </c:pt>
                <c:pt idx="52">
                  <c:v>-1497.8</c:v>
                </c:pt>
                <c:pt idx="53">
                  <c:v>-1822.35</c:v>
                </c:pt>
                <c:pt idx="54">
                  <c:v>-3755.07</c:v>
                </c:pt>
                <c:pt idx="55">
                  <c:v>1138.57</c:v>
                </c:pt>
                <c:pt idx="56">
                  <c:v>696.39</c:v>
                </c:pt>
                <c:pt idx="57">
                  <c:v>-4130.6000000000004</c:v>
                </c:pt>
                <c:pt idx="58">
                  <c:v>-963.93</c:v>
                </c:pt>
                <c:pt idx="59">
                  <c:v>-5533.26</c:v>
                </c:pt>
                <c:pt idx="60">
                  <c:v>6162.98</c:v>
                </c:pt>
                <c:pt idx="61">
                  <c:v>725.87</c:v>
                </c:pt>
                <c:pt idx="62">
                  <c:v>245</c:v>
                </c:pt>
                <c:pt idx="63">
                  <c:v>300.2</c:v>
                </c:pt>
                <c:pt idx="64">
                  <c:v>-2017.07</c:v>
                </c:pt>
                <c:pt idx="65">
                  <c:v>2974.51</c:v>
                </c:pt>
                <c:pt idx="66">
                  <c:v>3877.84</c:v>
                </c:pt>
                <c:pt idx="67">
                  <c:v>-1279.96</c:v>
                </c:pt>
                <c:pt idx="68">
                  <c:v>1337.97</c:v>
                </c:pt>
                <c:pt idx="69">
                  <c:v>1474.68</c:v>
                </c:pt>
                <c:pt idx="70">
                  <c:v>2547.2800000000002</c:v>
                </c:pt>
                <c:pt idx="71">
                  <c:v>-3028.19</c:v>
                </c:pt>
                <c:pt idx="72">
                  <c:v>2008.04</c:v>
                </c:pt>
                <c:pt idx="73">
                  <c:v>2861.08</c:v>
                </c:pt>
                <c:pt idx="74">
                  <c:v>9.99</c:v>
                </c:pt>
                <c:pt idx="75">
                  <c:v>-4755.54</c:v>
                </c:pt>
                <c:pt idx="76">
                  <c:v>2276.84</c:v>
                </c:pt>
                <c:pt idx="77">
                  <c:v>3267.95</c:v>
                </c:pt>
                <c:pt idx="78">
                  <c:v>11701.19</c:v>
                </c:pt>
                <c:pt idx="79">
                  <c:v>-449.74</c:v>
                </c:pt>
                <c:pt idx="80">
                  <c:v>2858.79</c:v>
                </c:pt>
                <c:pt idx="81">
                  <c:v>-434.4</c:v>
                </c:pt>
                <c:pt idx="82">
                  <c:v>2325.2600000000002</c:v>
                </c:pt>
                <c:pt idx="83">
                  <c:v>363.32</c:v>
                </c:pt>
                <c:pt idx="84">
                  <c:v>-808.37</c:v>
                </c:pt>
                <c:pt idx="85">
                  <c:v>169.79</c:v>
                </c:pt>
                <c:pt idx="86">
                  <c:v>4074.9</c:v>
                </c:pt>
                <c:pt idx="87">
                  <c:v>-7434.23</c:v>
                </c:pt>
                <c:pt idx="88">
                  <c:v>4241.05</c:v>
                </c:pt>
                <c:pt idx="89">
                  <c:v>-311.81</c:v>
                </c:pt>
                <c:pt idx="90">
                  <c:v>464.88</c:v>
                </c:pt>
                <c:pt idx="91">
                  <c:v>5717.95</c:v>
                </c:pt>
                <c:pt idx="92">
                  <c:v>8867.85</c:v>
                </c:pt>
                <c:pt idx="93">
                  <c:v>5449.75</c:v>
                </c:pt>
                <c:pt idx="94">
                  <c:v>129.56</c:v>
                </c:pt>
                <c:pt idx="95">
                  <c:v>7587.4</c:v>
                </c:pt>
                <c:pt idx="96">
                  <c:v>1265.27</c:v>
                </c:pt>
                <c:pt idx="97">
                  <c:v>956.73</c:v>
                </c:pt>
                <c:pt idx="98">
                  <c:v>2198.89</c:v>
                </c:pt>
                <c:pt idx="99">
                  <c:v>573.44000000000005</c:v>
                </c:pt>
                <c:pt idx="100">
                  <c:v>4321.4399999999996</c:v>
                </c:pt>
                <c:pt idx="101">
                  <c:v>2075.9899999999998</c:v>
                </c:pt>
                <c:pt idx="102">
                  <c:v>-624.38</c:v>
                </c:pt>
                <c:pt idx="103">
                  <c:v>1515.51</c:v>
                </c:pt>
                <c:pt idx="104">
                  <c:v>88.71</c:v>
                </c:pt>
                <c:pt idx="105">
                  <c:v>-1862.19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C-440B-A30B-5C1F7C849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255360"/>
        <c:axId val="19602529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attendance_after_ws_win!$G$1</c15:sqref>
                        </c15:formulaRef>
                      </c:ext>
                    </c:extLst>
                    <c:strCache>
                      <c:ptCount val="1"/>
                      <c:pt idx="0">
                        <c:v>next_year_avg_home_attendance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attendance_after_ws_win!$E$2:$E$107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1887</c:v>
                      </c:pt>
                      <c:pt idx="1">
                        <c:v>1888</c:v>
                      </c:pt>
                      <c:pt idx="2">
                        <c:v>1889</c:v>
                      </c:pt>
                      <c:pt idx="3">
                        <c:v>1890</c:v>
                      </c:pt>
                      <c:pt idx="4">
                        <c:v>1912</c:v>
                      </c:pt>
                      <c:pt idx="5">
                        <c:v>1913</c:v>
                      </c:pt>
                      <c:pt idx="6">
                        <c:v>1914</c:v>
                      </c:pt>
                      <c:pt idx="7">
                        <c:v>1915</c:v>
                      </c:pt>
                      <c:pt idx="8">
                        <c:v>1918</c:v>
                      </c:pt>
                      <c:pt idx="9">
                        <c:v>1919</c:v>
                      </c:pt>
                      <c:pt idx="10">
                        <c:v>1920</c:v>
                      </c:pt>
                      <c:pt idx="11">
                        <c:v>1921</c:v>
                      </c:pt>
                      <c:pt idx="12">
                        <c:v>1922</c:v>
                      </c:pt>
                      <c:pt idx="13">
                        <c:v>1923</c:v>
                      </c:pt>
                      <c:pt idx="14">
                        <c:v>1924</c:v>
                      </c:pt>
                      <c:pt idx="15">
                        <c:v>1925</c:v>
                      </c:pt>
                      <c:pt idx="16">
                        <c:v>1926</c:v>
                      </c:pt>
                      <c:pt idx="17">
                        <c:v>1927</c:v>
                      </c:pt>
                      <c:pt idx="18">
                        <c:v>1928</c:v>
                      </c:pt>
                      <c:pt idx="19">
                        <c:v>1929</c:v>
                      </c:pt>
                      <c:pt idx="20">
                        <c:v>1930</c:v>
                      </c:pt>
                      <c:pt idx="21">
                        <c:v>1931</c:v>
                      </c:pt>
                      <c:pt idx="22">
                        <c:v>1932</c:v>
                      </c:pt>
                      <c:pt idx="23">
                        <c:v>1933</c:v>
                      </c:pt>
                      <c:pt idx="24">
                        <c:v>1934</c:v>
                      </c:pt>
                      <c:pt idx="25">
                        <c:v>1935</c:v>
                      </c:pt>
                      <c:pt idx="26">
                        <c:v>1936</c:v>
                      </c:pt>
                      <c:pt idx="27">
                        <c:v>1937</c:v>
                      </c:pt>
                      <c:pt idx="28">
                        <c:v>1938</c:v>
                      </c:pt>
                      <c:pt idx="29">
                        <c:v>1939</c:v>
                      </c:pt>
                      <c:pt idx="30">
                        <c:v>1940</c:v>
                      </c:pt>
                      <c:pt idx="31">
                        <c:v>1941</c:v>
                      </c:pt>
                      <c:pt idx="32">
                        <c:v>1942</c:v>
                      </c:pt>
                      <c:pt idx="33">
                        <c:v>1943</c:v>
                      </c:pt>
                      <c:pt idx="34">
                        <c:v>1944</c:v>
                      </c:pt>
                      <c:pt idx="35">
                        <c:v>1945</c:v>
                      </c:pt>
                      <c:pt idx="36">
                        <c:v>1946</c:v>
                      </c:pt>
                      <c:pt idx="37">
                        <c:v>1947</c:v>
                      </c:pt>
                      <c:pt idx="38">
                        <c:v>1948</c:v>
                      </c:pt>
                      <c:pt idx="39">
                        <c:v>1949</c:v>
                      </c:pt>
                      <c:pt idx="40">
                        <c:v>1950</c:v>
                      </c:pt>
                      <c:pt idx="41">
                        <c:v>1951</c:v>
                      </c:pt>
                      <c:pt idx="42">
                        <c:v>1952</c:v>
                      </c:pt>
                      <c:pt idx="43">
                        <c:v>1953</c:v>
                      </c:pt>
                      <c:pt idx="44">
                        <c:v>1954</c:v>
                      </c:pt>
                      <c:pt idx="45">
                        <c:v>1955</c:v>
                      </c:pt>
                      <c:pt idx="46">
                        <c:v>1956</c:v>
                      </c:pt>
                      <c:pt idx="47">
                        <c:v>1957</c:v>
                      </c:pt>
                      <c:pt idx="48">
                        <c:v>1958</c:v>
                      </c:pt>
                      <c:pt idx="49">
                        <c:v>1959</c:v>
                      </c:pt>
                      <c:pt idx="50">
                        <c:v>1960</c:v>
                      </c:pt>
                      <c:pt idx="51">
                        <c:v>1961</c:v>
                      </c:pt>
                      <c:pt idx="52">
                        <c:v>1962</c:v>
                      </c:pt>
                      <c:pt idx="53">
                        <c:v>1963</c:v>
                      </c:pt>
                      <c:pt idx="54">
                        <c:v>1964</c:v>
                      </c:pt>
                      <c:pt idx="55">
                        <c:v>1965</c:v>
                      </c:pt>
                      <c:pt idx="56">
                        <c:v>1966</c:v>
                      </c:pt>
                      <c:pt idx="57">
                        <c:v>1967</c:v>
                      </c:pt>
                      <c:pt idx="58">
                        <c:v>1968</c:v>
                      </c:pt>
                      <c:pt idx="59">
                        <c:v>1969</c:v>
                      </c:pt>
                      <c:pt idx="60">
                        <c:v>1970</c:v>
                      </c:pt>
                      <c:pt idx="61">
                        <c:v>1971</c:v>
                      </c:pt>
                      <c:pt idx="62">
                        <c:v>1972</c:v>
                      </c:pt>
                      <c:pt idx="63">
                        <c:v>1973</c:v>
                      </c:pt>
                      <c:pt idx="64">
                        <c:v>1974</c:v>
                      </c:pt>
                      <c:pt idx="65">
                        <c:v>1975</c:v>
                      </c:pt>
                      <c:pt idx="66">
                        <c:v>1976</c:v>
                      </c:pt>
                      <c:pt idx="67">
                        <c:v>1977</c:v>
                      </c:pt>
                      <c:pt idx="68">
                        <c:v>1978</c:v>
                      </c:pt>
                      <c:pt idx="69">
                        <c:v>1979</c:v>
                      </c:pt>
                      <c:pt idx="70">
                        <c:v>1980</c:v>
                      </c:pt>
                      <c:pt idx="71">
                        <c:v>1981</c:v>
                      </c:pt>
                      <c:pt idx="72">
                        <c:v>1982</c:v>
                      </c:pt>
                      <c:pt idx="73">
                        <c:v>1983</c:v>
                      </c:pt>
                      <c:pt idx="74">
                        <c:v>1984</c:v>
                      </c:pt>
                      <c:pt idx="75">
                        <c:v>1985</c:v>
                      </c:pt>
                      <c:pt idx="76">
                        <c:v>1986</c:v>
                      </c:pt>
                      <c:pt idx="77">
                        <c:v>1987</c:v>
                      </c:pt>
                      <c:pt idx="78">
                        <c:v>1988</c:v>
                      </c:pt>
                      <c:pt idx="79">
                        <c:v>1989</c:v>
                      </c:pt>
                      <c:pt idx="80">
                        <c:v>1990</c:v>
                      </c:pt>
                      <c:pt idx="81">
                        <c:v>1991</c:v>
                      </c:pt>
                      <c:pt idx="82">
                        <c:v>1992</c:v>
                      </c:pt>
                      <c:pt idx="83">
                        <c:v>1993</c:v>
                      </c:pt>
                      <c:pt idx="84">
                        <c:v>1994</c:v>
                      </c:pt>
                      <c:pt idx="85">
                        <c:v>1996</c:v>
                      </c:pt>
                      <c:pt idx="86">
                        <c:v>1997</c:v>
                      </c:pt>
                      <c:pt idx="87">
                        <c:v>1998</c:v>
                      </c:pt>
                      <c:pt idx="88">
                        <c:v>1999</c:v>
                      </c:pt>
                      <c:pt idx="89">
                        <c:v>2000</c:v>
                      </c:pt>
                      <c:pt idx="90">
                        <c:v>2001</c:v>
                      </c:pt>
                      <c:pt idx="91">
                        <c:v>2002</c:v>
                      </c:pt>
                      <c:pt idx="92">
                        <c:v>2003</c:v>
                      </c:pt>
                      <c:pt idx="93">
                        <c:v>2004</c:v>
                      </c:pt>
                      <c:pt idx="94">
                        <c:v>2005</c:v>
                      </c:pt>
                      <c:pt idx="95">
                        <c:v>2006</c:v>
                      </c:pt>
                      <c:pt idx="96">
                        <c:v>2007</c:v>
                      </c:pt>
                      <c:pt idx="97">
                        <c:v>2008</c:v>
                      </c:pt>
                      <c:pt idx="98">
                        <c:v>2009</c:v>
                      </c:pt>
                      <c:pt idx="99">
                        <c:v>2010</c:v>
                      </c:pt>
                      <c:pt idx="100">
                        <c:v>2011</c:v>
                      </c:pt>
                      <c:pt idx="101">
                        <c:v>2012</c:v>
                      </c:pt>
                      <c:pt idx="102">
                        <c:v>2013</c:v>
                      </c:pt>
                      <c:pt idx="103">
                        <c:v>2014</c:v>
                      </c:pt>
                      <c:pt idx="104">
                        <c:v>2015</c:v>
                      </c:pt>
                      <c:pt idx="10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attendance_after_ws_win!$G$2:$G$107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205.48</c:v>
                      </c:pt>
                      <c:pt idx="1">
                        <c:v>205.88</c:v>
                      </c:pt>
                      <c:pt idx="2">
                        <c:v>118.89</c:v>
                      </c:pt>
                      <c:pt idx="3">
                        <c:v>152.33000000000001</c:v>
                      </c:pt>
                      <c:pt idx="4">
                        <c:v>7470.13</c:v>
                      </c:pt>
                      <c:pt idx="5">
                        <c:v>6348</c:v>
                      </c:pt>
                      <c:pt idx="6">
                        <c:v>4773.08</c:v>
                      </c:pt>
                      <c:pt idx="7">
                        <c:v>4885.55</c:v>
                      </c:pt>
                      <c:pt idx="8">
                        <c:v>696.43</c:v>
                      </c:pt>
                      <c:pt idx="9">
                        <c:v>1015.15</c:v>
                      </c:pt>
                      <c:pt idx="10">
                        <c:v>2396.1</c:v>
                      </c:pt>
                      <c:pt idx="11">
                        <c:v>3363.64</c:v>
                      </c:pt>
                      <c:pt idx="12">
                        <c:v>12316.46</c:v>
                      </c:pt>
                      <c:pt idx="13">
                        <c:v>13090.91</c:v>
                      </c:pt>
                      <c:pt idx="14">
                        <c:v>19597.23</c:v>
                      </c:pt>
                      <c:pt idx="15">
                        <c:v>5631.58</c:v>
                      </c:pt>
                      <c:pt idx="16">
                        <c:v>1734.18</c:v>
                      </c:pt>
                      <c:pt idx="17">
                        <c:v>7814.31</c:v>
                      </c:pt>
                      <c:pt idx="18">
                        <c:v>11470.97</c:v>
                      </c:pt>
                      <c:pt idx="19">
                        <c:v>11294.09</c:v>
                      </c:pt>
                      <c:pt idx="20">
                        <c:v>3026.32</c:v>
                      </c:pt>
                      <c:pt idx="21">
                        <c:v>4853.33</c:v>
                      </c:pt>
                      <c:pt idx="22">
                        <c:v>2942.56</c:v>
                      </c:pt>
                      <c:pt idx="23">
                        <c:v>13513.13</c:v>
                      </c:pt>
                      <c:pt idx="24">
                        <c:v>5034.3100000000004</c:v>
                      </c:pt>
                      <c:pt idx="25">
                        <c:v>7470.62</c:v>
                      </c:pt>
                      <c:pt idx="26">
                        <c:v>6385.71</c:v>
                      </c:pt>
                      <c:pt idx="27">
                        <c:v>13153.3</c:v>
                      </c:pt>
                      <c:pt idx="28">
                        <c:v>12314.76</c:v>
                      </c:pt>
                      <c:pt idx="29">
                        <c:v>12537.49</c:v>
                      </c:pt>
                      <c:pt idx="30">
                        <c:v>14587.16</c:v>
                      </c:pt>
                      <c:pt idx="31">
                        <c:v>8268.81</c:v>
                      </c:pt>
                      <c:pt idx="32">
                        <c:v>12954.79</c:v>
                      </c:pt>
                      <c:pt idx="33">
                        <c:v>6715.04</c:v>
                      </c:pt>
                      <c:pt idx="34">
                        <c:v>13412.87</c:v>
                      </c:pt>
                      <c:pt idx="35">
                        <c:v>7304.58</c:v>
                      </c:pt>
                      <c:pt idx="36">
                        <c:v>19397.560000000001</c:v>
                      </c:pt>
                      <c:pt idx="37">
                        <c:v>16079.13</c:v>
                      </c:pt>
                      <c:pt idx="38">
                        <c:v>31314.22</c:v>
                      </c:pt>
                      <c:pt idx="39">
                        <c:v>30189.51</c:v>
                      </c:pt>
                      <c:pt idx="40">
                        <c:v>26063.66</c:v>
                      </c:pt>
                      <c:pt idx="41">
                        <c:v>24750.37</c:v>
                      </c:pt>
                      <c:pt idx="42">
                        <c:v>20694.79</c:v>
                      </c:pt>
                      <c:pt idx="43">
                        <c:v>19439.18</c:v>
                      </c:pt>
                      <c:pt idx="44">
                        <c:v>18910.91</c:v>
                      </c:pt>
                      <c:pt idx="45">
                        <c:v>10445.59</c:v>
                      </c:pt>
                      <c:pt idx="46">
                        <c:v>16066.92</c:v>
                      </c:pt>
                      <c:pt idx="47">
                        <c:v>19517.95</c:v>
                      </c:pt>
                      <c:pt idx="48">
                        <c:v>25361.08</c:v>
                      </c:pt>
                      <c:pt idx="49">
                        <c:v>21576.65</c:v>
                      </c:pt>
                      <c:pt idx="50">
                        <c:v>29467.38</c:v>
                      </c:pt>
                      <c:pt idx="51">
                        <c:v>15574</c:v>
                      </c:pt>
                      <c:pt idx="52">
                        <c:v>20079.060000000001</c:v>
                      </c:pt>
                      <c:pt idx="53">
                        <c:v>18256.71</c:v>
                      </c:pt>
                      <c:pt idx="54">
                        <c:v>27586.400000000001</c:v>
                      </c:pt>
                      <c:pt idx="55">
                        <c:v>15245.57</c:v>
                      </c:pt>
                      <c:pt idx="56">
                        <c:v>32309.33</c:v>
                      </c:pt>
                      <c:pt idx="57">
                        <c:v>11102.62</c:v>
                      </c:pt>
                      <c:pt idx="58">
                        <c:v>24834.16</c:v>
                      </c:pt>
                      <c:pt idx="59">
                        <c:v>19556.330000000002</c:v>
                      </c:pt>
                      <c:pt idx="60">
                        <c:v>32895.800000000003</c:v>
                      </c:pt>
                      <c:pt idx="61">
                        <c:v>13416.04</c:v>
                      </c:pt>
                      <c:pt idx="62">
                        <c:v>19499.599999999999</c:v>
                      </c:pt>
                      <c:pt idx="63">
                        <c:v>12346.23</c:v>
                      </c:pt>
                      <c:pt idx="64">
                        <c:v>10329.16</c:v>
                      </c:pt>
                      <c:pt idx="65">
                        <c:v>13303.67</c:v>
                      </c:pt>
                      <c:pt idx="66">
                        <c:v>32465.53</c:v>
                      </c:pt>
                      <c:pt idx="67">
                        <c:v>31185.57</c:v>
                      </c:pt>
                      <c:pt idx="68">
                        <c:v>29930.85</c:v>
                      </c:pt>
                      <c:pt idx="69">
                        <c:v>31405.53</c:v>
                      </c:pt>
                      <c:pt idx="70">
                        <c:v>20268.599999999999</c:v>
                      </c:pt>
                      <c:pt idx="71">
                        <c:v>29798.44</c:v>
                      </c:pt>
                      <c:pt idx="72">
                        <c:v>44554.09</c:v>
                      </c:pt>
                      <c:pt idx="73">
                        <c:v>28934.19</c:v>
                      </c:pt>
                      <c:pt idx="74">
                        <c:v>25150.69</c:v>
                      </c:pt>
                      <c:pt idx="75">
                        <c:v>28229.75</c:v>
                      </c:pt>
                      <c:pt idx="76">
                        <c:v>28651.41</c:v>
                      </c:pt>
                      <c:pt idx="77">
                        <c:v>37371.86</c:v>
                      </c:pt>
                      <c:pt idx="78">
                        <c:v>37407.4</c:v>
                      </c:pt>
                      <c:pt idx="79">
                        <c:v>36343.620000000003</c:v>
                      </c:pt>
                      <c:pt idx="80">
                        <c:v>35842.01</c:v>
                      </c:pt>
                      <c:pt idx="81">
                        <c:v>29288.6</c:v>
                      </c:pt>
                      <c:pt idx="82">
                        <c:v>30644.3</c:v>
                      </c:pt>
                      <c:pt idx="83">
                        <c:v>50095.64</c:v>
                      </c:pt>
                      <c:pt idx="84">
                        <c:v>49287.27</c:v>
                      </c:pt>
                      <c:pt idx="85">
                        <c:v>35787.730000000003</c:v>
                      </c:pt>
                      <c:pt idx="86">
                        <c:v>32263.040000000001</c:v>
                      </c:pt>
                      <c:pt idx="87">
                        <c:v>21609.81</c:v>
                      </c:pt>
                      <c:pt idx="88">
                        <c:v>40657.519999999997</c:v>
                      </c:pt>
                      <c:pt idx="89">
                        <c:v>40345.71</c:v>
                      </c:pt>
                      <c:pt idx="90">
                        <c:v>40810.589999999997</c:v>
                      </c:pt>
                      <c:pt idx="91">
                        <c:v>39493.519999999997</c:v>
                      </c:pt>
                      <c:pt idx="92">
                        <c:v>37330.410000000003</c:v>
                      </c:pt>
                      <c:pt idx="93">
                        <c:v>21538.81</c:v>
                      </c:pt>
                      <c:pt idx="94">
                        <c:v>35158</c:v>
                      </c:pt>
                      <c:pt idx="95">
                        <c:v>36511.279999999999</c:v>
                      </c:pt>
                      <c:pt idx="96">
                        <c:v>43854.07</c:v>
                      </c:pt>
                      <c:pt idx="97">
                        <c:v>37632.720000000001</c:v>
                      </c:pt>
                      <c:pt idx="98">
                        <c:v>44453</c:v>
                      </c:pt>
                      <c:pt idx="99">
                        <c:v>46491.44</c:v>
                      </c:pt>
                      <c:pt idx="100">
                        <c:v>41818.559999999998</c:v>
                      </c:pt>
                      <c:pt idx="101">
                        <c:v>40272.949999999997</c:v>
                      </c:pt>
                      <c:pt idx="102">
                        <c:v>41071.56</c:v>
                      </c:pt>
                      <c:pt idx="103">
                        <c:v>36494.93</c:v>
                      </c:pt>
                      <c:pt idx="104">
                        <c:v>41677.56</c:v>
                      </c:pt>
                      <c:pt idx="105">
                        <c:v>31576.69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BC-440B-A30B-5C1F7C849DF9}"/>
                  </c:ext>
                </c:extLst>
              </c15:ser>
            </c15:filteredBarSeries>
          </c:ext>
        </c:extLst>
      </c:barChart>
      <c:catAx>
        <c:axId val="19602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252960"/>
        <c:crosses val="autoZero"/>
        <c:auto val="1"/>
        <c:lblAlgn val="ctr"/>
        <c:lblOffset val="100"/>
        <c:noMultiLvlLbl val="0"/>
      </c:catAx>
      <c:valAx>
        <c:axId val="19602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2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NYA!$D$1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NYA!$B$16:$B$101</c:f>
              <c:numCache>
                <c:formatCode>General</c:formatCode>
                <c:ptCount val="27"/>
                <c:pt idx="0">
                  <c:v>1923</c:v>
                </c:pt>
                <c:pt idx="1">
                  <c:v>1927</c:v>
                </c:pt>
                <c:pt idx="2">
                  <c:v>1928</c:v>
                </c:pt>
                <c:pt idx="3">
                  <c:v>1932</c:v>
                </c:pt>
                <c:pt idx="4">
                  <c:v>1936</c:v>
                </c:pt>
                <c:pt idx="5">
                  <c:v>1937</c:v>
                </c:pt>
                <c:pt idx="6">
                  <c:v>1938</c:v>
                </c:pt>
                <c:pt idx="7">
                  <c:v>1939</c:v>
                </c:pt>
                <c:pt idx="8">
                  <c:v>1941</c:v>
                </c:pt>
                <c:pt idx="9">
                  <c:v>1943</c:v>
                </c:pt>
                <c:pt idx="10">
                  <c:v>1947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1956</c:v>
                </c:pt>
                <c:pt idx="17">
                  <c:v>1958</c:v>
                </c:pt>
                <c:pt idx="18">
                  <c:v>1961</c:v>
                </c:pt>
                <c:pt idx="19">
                  <c:v>1962</c:v>
                </c:pt>
                <c:pt idx="20">
                  <c:v>1977</c:v>
                </c:pt>
                <c:pt idx="21">
                  <c:v>1978</c:v>
                </c:pt>
                <c:pt idx="22">
                  <c:v>1996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2009</c:v>
                </c:pt>
              </c:numCache>
            </c:numRef>
          </c:cat>
          <c:val>
            <c:numRef>
              <c:f>NYA!$D$16:$D$101</c:f>
              <c:numCache>
                <c:formatCode>General</c:formatCode>
                <c:ptCount val="27"/>
                <c:pt idx="0">
                  <c:v>20765.79</c:v>
                </c:pt>
                <c:pt idx="1">
                  <c:v>19326.509999999998</c:v>
                </c:pt>
                <c:pt idx="2">
                  <c:v>11470.97</c:v>
                </c:pt>
                <c:pt idx="3">
                  <c:v>9894.23</c:v>
                </c:pt>
                <c:pt idx="4">
                  <c:v>13861.84</c:v>
                </c:pt>
                <c:pt idx="5">
                  <c:v>13153.3</c:v>
                </c:pt>
                <c:pt idx="6">
                  <c:v>12314.76</c:v>
                </c:pt>
                <c:pt idx="7">
                  <c:v>12537.49</c:v>
                </c:pt>
                <c:pt idx="8">
                  <c:v>13508.69</c:v>
                </c:pt>
                <c:pt idx="9">
                  <c:v>9039.44</c:v>
                </c:pt>
                <c:pt idx="10">
                  <c:v>28896.23</c:v>
                </c:pt>
                <c:pt idx="11">
                  <c:v>29760.79</c:v>
                </c:pt>
                <c:pt idx="12">
                  <c:v>26063.66</c:v>
                </c:pt>
                <c:pt idx="13">
                  <c:v>24750.37</c:v>
                </c:pt>
                <c:pt idx="14">
                  <c:v>20694.79</c:v>
                </c:pt>
                <c:pt idx="15">
                  <c:v>19439.18</c:v>
                </c:pt>
                <c:pt idx="16">
                  <c:v>21212.74</c:v>
                </c:pt>
                <c:pt idx="17">
                  <c:v>17901.04</c:v>
                </c:pt>
                <c:pt idx="18">
                  <c:v>21576.86</c:v>
                </c:pt>
                <c:pt idx="19">
                  <c:v>20079.060000000001</c:v>
                </c:pt>
                <c:pt idx="20">
                  <c:v>28592.880000000001</c:v>
                </c:pt>
                <c:pt idx="21">
                  <c:v>29930.85</c:v>
                </c:pt>
                <c:pt idx="22">
                  <c:v>28188.14</c:v>
                </c:pt>
                <c:pt idx="23">
                  <c:v>36416.47</c:v>
                </c:pt>
                <c:pt idx="24">
                  <c:v>40657.519999999997</c:v>
                </c:pt>
                <c:pt idx="25">
                  <c:v>40345.71</c:v>
                </c:pt>
                <c:pt idx="26">
                  <c:v>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F3-40FC-B4CA-96C442C8CA7E}"/>
            </c:ext>
          </c:extLst>
        </c:ser>
        <c:ser>
          <c:idx val="0"/>
          <c:order val="1"/>
          <c:tx>
            <c:strRef>
              <c:f>NYA!$G$1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NYA!$B$16:$B$101</c:f>
              <c:numCache>
                <c:formatCode>General</c:formatCode>
                <c:ptCount val="27"/>
                <c:pt idx="0">
                  <c:v>1923</c:v>
                </c:pt>
                <c:pt idx="1">
                  <c:v>1927</c:v>
                </c:pt>
                <c:pt idx="2">
                  <c:v>1928</c:v>
                </c:pt>
                <c:pt idx="3">
                  <c:v>1932</c:v>
                </c:pt>
                <c:pt idx="4">
                  <c:v>1936</c:v>
                </c:pt>
                <c:pt idx="5">
                  <c:v>1937</c:v>
                </c:pt>
                <c:pt idx="6">
                  <c:v>1938</c:v>
                </c:pt>
                <c:pt idx="7">
                  <c:v>1939</c:v>
                </c:pt>
                <c:pt idx="8">
                  <c:v>1941</c:v>
                </c:pt>
                <c:pt idx="9">
                  <c:v>1943</c:v>
                </c:pt>
                <c:pt idx="10">
                  <c:v>1947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1956</c:v>
                </c:pt>
                <c:pt idx="17">
                  <c:v>1958</c:v>
                </c:pt>
                <c:pt idx="18">
                  <c:v>1961</c:v>
                </c:pt>
                <c:pt idx="19">
                  <c:v>1962</c:v>
                </c:pt>
                <c:pt idx="20">
                  <c:v>1977</c:v>
                </c:pt>
                <c:pt idx="21">
                  <c:v>1978</c:v>
                </c:pt>
                <c:pt idx="22">
                  <c:v>1996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2009</c:v>
                </c:pt>
              </c:numCache>
            </c:numRef>
          </c:cat>
          <c:val>
            <c:numRef>
              <c:f>NYA!$G$2:$G$101</c:f>
              <c:numCache>
                <c:formatCode>General</c:formatCode>
                <c:ptCount val="27"/>
                <c:pt idx="0">
                  <c:v>19597.23</c:v>
                </c:pt>
                <c:pt idx="1">
                  <c:v>11470.97</c:v>
                </c:pt>
                <c:pt idx="2">
                  <c:v>11294.09</c:v>
                </c:pt>
                <c:pt idx="3">
                  <c:v>13513.13</c:v>
                </c:pt>
                <c:pt idx="4">
                  <c:v>13153.3</c:v>
                </c:pt>
                <c:pt idx="5">
                  <c:v>12314.76</c:v>
                </c:pt>
                <c:pt idx="6">
                  <c:v>12537.49</c:v>
                </c:pt>
                <c:pt idx="7">
                  <c:v>14587.16</c:v>
                </c:pt>
                <c:pt idx="8">
                  <c:v>12954.79</c:v>
                </c:pt>
                <c:pt idx="9">
                  <c:v>13412.87</c:v>
                </c:pt>
                <c:pt idx="10">
                  <c:v>31314.22</c:v>
                </c:pt>
                <c:pt idx="11">
                  <c:v>26063.66</c:v>
                </c:pt>
                <c:pt idx="12">
                  <c:v>24750.37</c:v>
                </c:pt>
                <c:pt idx="13">
                  <c:v>20694.79</c:v>
                </c:pt>
                <c:pt idx="14">
                  <c:v>19439.18</c:v>
                </c:pt>
                <c:pt idx="15">
                  <c:v>18910.91</c:v>
                </c:pt>
                <c:pt idx="16">
                  <c:v>19517.95</c:v>
                </c:pt>
                <c:pt idx="17">
                  <c:v>21576.65</c:v>
                </c:pt>
                <c:pt idx="18">
                  <c:v>20079.060000000001</c:v>
                </c:pt>
                <c:pt idx="19">
                  <c:v>18256.71</c:v>
                </c:pt>
                <c:pt idx="20">
                  <c:v>29930.85</c:v>
                </c:pt>
                <c:pt idx="21">
                  <c:v>31405.53</c:v>
                </c:pt>
                <c:pt idx="22">
                  <c:v>32263.040000000001</c:v>
                </c:pt>
                <c:pt idx="23">
                  <c:v>40657.519999999997</c:v>
                </c:pt>
                <c:pt idx="24">
                  <c:v>40345.71</c:v>
                </c:pt>
                <c:pt idx="25">
                  <c:v>40810.589999999997</c:v>
                </c:pt>
                <c:pt idx="26">
                  <c:v>46491.44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3-40FC-B4CA-96C442C8C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789327"/>
        <c:axId val="991788367"/>
      </c:lineChart>
      <c:catAx>
        <c:axId val="9917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8367"/>
        <c:crosses val="autoZero"/>
        <c:auto val="1"/>
        <c:lblAlgn val="ctr"/>
        <c:lblOffset val="100"/>
        <c:noMultiLvlLbl val="0"/>
      </c:catAx>
      <c:valAx>
        <c:axId val="9917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NYA!$D$1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NYA!$B$16:$B$101</c:f>
              <c:numCache>
                <c:formatCode>General</c:formatCode>
                <c:ptCount val="27"/>
                <c:pt idx="0">
                  <c:v>1923</c:v>
                </c:pt>
                <c:pt idx="1">
                  <c:v>1927</c:v>
                </c:pt>
                <c:pt idx="2">
                  <c:v>1928</c:v>
                </c:pt>
                <c:pt idx="3">
                  <c:v>1932</c:v>
                </c:pt>
                <c:pt idx="4">
                  <c:v>1936</c:v>
                </c:pt>
                <c:pt idx="5">
                  <c:v>1937</c:v>
                </c:pt>
                <c:pt idx="6">
                  <c:v>1938</c:v>
                </c:pt>
                <c:pt idx="7">
                  <c:v>1939</c:v>
                </c:pt>
                <c:pt idx="8">
                  <c:v>1941</c:v>
                </c:pt>
                <c:pt idx="9">
                  <c:v>1943</c:v>
                </c:pt>
                <c:pt idx="10">
                  <c:v>1947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1956</c:v>
                </c:pt>
                <c:pt idx="17">
                  <c:v>1958</c:v>
                </c:pt>
                <c:pt idx="18">
                  <c:v>1961</c:v>
                </c:pt>
                <c:pt idx="19">
                  <c:v>1962</c:v>
                </c:pt>
                <c:pt idx="20">
                  <c:v>1977</c:v>
                </c:pt>
                <c:pt idx="21">
                  <c:v>1978</c:v>
                </c:pt>
                <c:pt idx="22">
                  <c:v>1996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2009</c:v>
                </c:pt>
              </c:numCache>
            </c:numRef>
          </c:cat>
          <c:val>
            <c:numRef>
              <c:f>NYA!$D$16:$D$101</c:f>
              <c:numCache>
                <c:formatCode>General</c:formatCode>
                <c:ptCount val="27"/>
                <c:pt idx="0">
                  <c:v>20765.79</c:v>
                </c:pt>
                <c:pt idx="1">
                  <c:v>19326.509999999998</c:v>
                </c:pt>
                <c:pt idx="2">
                  <c:v>11470.97</c:v>
                </c:pt>
                <c:pt idx="3">
                  <c:v>9894.23</c:v>
                </c:pt>
                <c:pt idx="4">
                  <c:v>13861.84</c:v>
                </c:pt>
                <c:pt idx="5">
                  <c:v>13153.3</c:v>
                </c:pt>
                <c:pt idx="6">
                  <c:v>12314.76</c:v>
                </c:pt>
                <c:pt idx="7">
                  <c:v>12537.49</c:v>
                </c:pt>
                <c:pt idx="8">
                  <c:v>13508.69</c:v>
                </c:pt>
                <c:pt idx="9">
                  <c:v>9039.44</c:v>
                </c:pt>
                <c:pt idx="10">
                  <c:v>28896.23</c:v>
                </c:pt>
                <c:pt idx="11">
                  <c:v>29760.79</c:v>
                </c:pt>
                <c:pt idx="12">
                  <c:v>26063.66</c:v>
                </c:pt>
                <c:pt idx="13">
                  <c:v>24750.37</c:v>
                </c:pt>
                <c:pt idx="14">
                  <c:v>20694.79</c:v>
                </c:pt>
                <c:pt idx="15">
                  <c:v>19439.18</c:v>
                </c:pt>
                <c:pt idx="16">
                  <c:v>21212.74</c:v>
                </c:pt>
                <c:pt idx="17">
                  <c:v>17901.04</c:v>
                </c:pt>
                <c:pt idx="18">
                  <c:v>21576.86</c:v>
                </c:pt>
                <c:pt idx="19">
                  <c:v>20079.060000000001</c:v>
                </c:pt>
                <c:pt idx="20">
                  <c:v>28592.880000000001</c:v>
                </c:pt>
                <c:pt idx="21">
                  <c:v>29930.85</c:v>
                </c:pt>
                <c:pt idx="22">
                  <c:v>28188.14</c:v>
                </c:pt>
                <c:pt idx="23">
                  <c:v>36416.47</c:v>
                </c:pt>
                <c:pt idx="24">
                  <c:v>40657.519999999997</c:v>
                </c:pt>
                <c:pt idx="25">
                  <c:v>40345.71</c:v>
                </c:pt>
                <c:pt idx="26">
                  <c:v>45918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28-4AA0-8D96-B895DB8BEFBE}"/>
            </c:ext>
          </c:extLst>
        </c:ser>
        <c:ser>
          <c:idx val="1"/>
          <c:order val="1"/>
          <c:tx>
            <c:strRef>
              <c:f>NYA!$G$1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NYA!$B$16:$B$101</c:f>
              <c:numCache>
                <c:formatCode>General</c:formatCode>
                <c:ptCount val="27"/>
                <c:pt idx="0">
                  <c:v>1923</c:v>
                </c:pt>
                <c:pt idx="1">
                  <c:v>1927</c:v>
                </c:pt>
                <c:pt idx="2">
                  <c:v>1928</c:v>
                </c:pt>
                <c:pt idx="3">
                  <c:v>1932</c:v>
                </c:pt>
                <c:pt idx="4">
                  <c:v>1936</c:v>
                </c:pt>
                <c:pt idx="5">
                  <c:v>1937</c:v>
                </c:pt>
                <c:pt idx="6">
                  <c:v>1938</c:v>
                </c:pt>
                <c:pt idx="7">
                  <c:v>1939</c:v>
                </c:pt>
                <c:pt idx="8">
                  <c:v>1941</c:v>
                </c:pt>
                <c:pt idx="9">
                  <c:v>1943</c:v>
                </c:pt>
                <c:pt idx="10">
                  <c:v>1947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1956</c:v>
                </c:pt>
                <c:pt idx="17">
                  <c:v>1958</c:v>
                </c:pt>
                <c:pt idx="18">
                  <c:v>1961</c:v>
                </c:pt>
                <c:pt idx="19">
                  <c:v>1962</c:v>
                </c:pt>
                <c:pt idx="20">
                  <c:v>1977</c:v>
                </c:pt>
                <c:pt idx="21">
                  <c:v>1978</c:v>
                </c:pt>
                <c:pt idx="22">
                  <c:v>1996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2009</c:v>
                </c:pt>
              </c:numCache>
            </c:numRef>
          </c:cat>
          <c:val>
            <c:numRef>
              <c:f>NYA!$G$2:$G$101</c:f>
              <c:numCache>
                <c:formatCode>General</c:formatCode>
                <c:ptCount val="27"/>
                <c:pt idx="0">
                  <c:v>19597.23</c:v>
                </c:pt>
                <c:pt idx="1">
                  <c:v>11470.97</c:v>
                </c:pt>
                <c:pt idx="2">
                  <c:v>11294.09</c:v>
                </c:pt>
                <c:pt idx="3">
                  <c:v>13513.13</c:v>
                </c:pt>
                <c:pt idx="4">
                  <c:v>13153.3</c:v>
                </c:pt>
                <c:pt idx="5">
                  <c:v>12314.76</c:v>
                </c:pt>
                <c:pt idx="6">
                  <c:v>12537.49</c:v>
                </c:pt>
                <c:pt idx="7">
                  <c:v>14587.16</c:v>
                </c:pt>
                <c:pt idx="8">
                  <c:v>12954.79</c:v>
                </c:pt>
                <c:pt idx="9">
                  <c:v>13412.87</c:v>
                </c:pt>
                <c:pt idx="10">
                  <c:v>31314.22</c:v>
                </c:pt>
                <c:pt idx="11">
                  <c:v>26063.66</c:v>
                </c:pt>
                <c:pt idx="12">
                  <c:v>24750.37</c:v>
                </c:pt>
                <c:pt idx="13">
                  <c:v>20694.79</c:v>
                </c:pt>
                <c:pt idx="14">
                  <c:v>19439.18</c:v>
                </c:pt>
                <c:pt idx="15">
                  <c:v>18910.91</c:v>
                </c:pt>
                <c:pt idx="16">
                  <c:v>19517.95</c:v>
                </c:pt>
                <c:pt idx="17">
                  <c:v>21576.65</c:v>
                </c:pt>
                <c:pt idx="18">
                  <c:v>20079.060000000001</c:v>
                </c:pt>
                <c:pt idx="19">
                  <c:v>18256.71</c:v>
                </c:pt>
                <c:pt idx="20">
                  <c:v>29930.85</c:v>
                </c:pt>
                <c:pt idx="21">
                  <c:v>31405.53</c:v>
                </c:pt>
                <c:pt idx="22">
                  <c:v>32263.040000000001</c:v>
                </c:pt>
                <c:pt idx="23">
                  <c:v>40657.519999999997</c:v>
                </c:pt>
                <c:pt idx="24">
                  <c:v>40345.71</c:v>
                </c:pt>
                <c:pt idx="25">
                  <c:v>40810.589999999997</c:v>
                </c:pt>
                <c:pt idx="26">
                  <c:v>46491.44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8-4AA0-8D96-B895DB8BE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565616"/>
        <c:axId val="1961567536"/>
        <c:extLst/>
      </c:barChart>
      <c:catAx>
        <c:axId val="19615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7536"/>
        <c:crosses val="autoZero"/>
        <c:auto val="1"/>
        <c:lblAlgn val="ctr"/>
        <c:lblOffset val="100"/>
        <c:noMultiLvlLbl val="0"/>
      </c:catAx>
      <c:valAx>
        <c:axId val="19615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NYA!$H$1</c:f>
              <c:strCache>
                <c:ptCount val="1"/>
                <c:pt idx="0">
                  <c:v>attendance_growth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NYA!$E$16:$E$101</c:f>
              <c:numCache>
                <c:formatCode>General</c:formatCode>
                <c:ptCount val="27"/>
                <c:pt idx="0">
                  <c:v>1924</c:v>
                </c:pt>
                <c:pt idx="1">
                  <c:v>1928</c:v>
                </c:pt>
                <c:pt idx="2">
                  <c:v>1929</c:v>
                </c:pt>
                <c:pt idx="3">
                  <c:v>1933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1942</c:v>
                </c:pt>
                <c:pt idx="9">
                  <c:v>1944</c:v>
                </c:pt>
                <c:pt idx="10">
                  <c:v>1948</c:v>
                </c:pt>
                <c:pt idx="11">
                  <c:v>1950</c:v>
                </c:pt>
                <c:pt idx="12">
                  <c:v>1951</c:v>
                </c:pt>
                <c:pt idx="13">
                  <c:v>1952</c:v>
                </c:pt>
                <c:pt idx="14">
                  <c:v>1953</c:v>
                </c:pt>
                <c:pt idx="15">
                  <c:v>1954</c:v>
                </c:pt>
                <c:pt idx="16">
                  <c:v>1957</c:v>
                </c:pt>
                <c:pt idx="17">
                  <c:v>1959</c:v>
                </c:pt>
                <c:pt idx="18">
                  <c:v>1962</c:v>
                </c:pt>
                <c:pt idx="19">
                  <c:v>1963</c:v>
                </c:pt>
                <c:pt idx="20">
                  <c:v>1978</c:v>
                </c:pt>
                <c:pt idx="21">
                  <c:v>1979</c:v>
                </c:pt>
                <c:pt idx="22">
                  <c:v>1997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2010</c:v>
                </c:pt>
              </c:numCache>
            </c:numRef>
          </c:cat>
          <c:val>
            <c:numRef>
              <c:f>NYA!$H$16:$H$101</c:f>
              <c:numCache>
                <c:formatCode>General</c:formatCode>
                <c:ptCount val="27"/>
                <c:pt idx="0">
                  <c:v>-1168.56</c:v>
                </c:pt>
                <c:pt idx="1">
                  <c:v>-7855.54</c:v>
                </c:pt>
                <c:pt idx="2">
                  <c:v>-176.88</c:v>
                </c:pt>
                <c:pt idx="3">
                  <c:v>3618.9</c:v>
                </c:pt>
                <c:pt idx="4">
                  <c:v>-708.54</c:v>
                </c:pt>
                <c:pt idx="5">
                  <c:v>-838.54</c:v>
                </c:pt>
                <c:pt idx="6">
                  <c:v>222.73</c:v>
                </c:pt>
                <c:pt idx="7">
                  <c:v>2049.67</c:v>
                </c:pt>
                <c:pt idx="8">
                  <c:v>-553.9</c:v>
                </c:pt>
                <c:pt idx="9">
                  <c:v>4373.43</c:v>
                </c:pt>
                <c:pt idx="10">
                  <c:v>2417.9899999999998</c:v>
                </c:pt>
                <c:pt idx="11">
                  <c:v>-3697.13</c:v>
                </c:pt>
                <c:pt idx="12">
                  <c:v>-1313.29</c:v>
                </c:pt>
                <c:pt idx="13">
                  <c:v>-4055.58</c:v>
                </c:pt>
                <c:pt idx="14">
                  <c:v>-1255.6099999999999</c:v>
                </c:pt>
                <c:pt idx="15">
                  <c:v>-528.27</c:v>
                </c:pt>
                <c:pt idx="16">
                  <c:v>-1694.79</c:v>
                </c:pt>
                <c:pt idx="17">
                  <c:v>3675.61</c:v>
                </c:pt>
                <c:pt idx="18">
                  <c:v>-1497.8</c:v>
                </c:pt>
                <c:pt idx="19">
                  <c:v>-1822.35</c:v>
                </c:pt>
                <c:pt idx="20">
                  <c:v>1337.97</c:v>
                </c:pt>
                <c:pt idx="21">
                  <c:v>1474.68</c:v>
                </c:pt>
                <c:pt idx="22">
                  <c:v>4074.9</c:v>
                </c:pt>
                <c:pt idx="23">
                  <c:v>4241.05</c:v>
                </c:pt>
                <c:pt idx="24">
                  <c:v>-311.81</c:v>
                </c:pt>
                <c:pt idx="25">
                  <c:v>464.88</c:v>
                </c:pt>
                <c:pt idx="26">
                  <c:v>573.44000000000005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B-4EC4-8908-4E1E9B2BA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3391"/>
        <c:axId val="77811791"/>
      </c:barChart>
      <c:catAx>
        <c:axId val="7783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1791"/>
        <c:crosses val="autoZero"/>
        <c:auto val="1"/>
        <c:lblAlgn val="ctr"/>
        <c:lblOffset val="100"/>
        <c:noMultiLvlLbl val="0"/>
      </c:catAx>
      <c:valAx>
        <c:axId val="778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SLN!$D$1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SLN!$B:$B</c15:sqref>
                  </c15:fullRef>
                </c:ext>
              </c:extLst>
              <c:f>SLN!$B$2:$B$1048576</c:f>
              <c:strCache>
                <c:ptCount val="11"/>
                <c:pt idx="0">
                  <c:v>1926</c:v>
                </c:pt>
                <c:pt idx="1">
                  <c:v>1931</c:v>
                </c:pt>
                <c:pt idx="2">
                  <c:v>1934</c:v>
                </c:pt>
                <c:pt idx="3">
                  <c:v>1942</c:v>
                </c:pt>
                <c:pt idx="4">
                  <c:v>1944</c:v>
                </c:pt>
                <c:pt idx="5">
                  <c:v>1946</c:v>
                </c:pt>
                <c:pt idx="6">
                  <c:v>1964</c:v>
                </c:pt>
                <c:pt idx="7">
                  <c:v>1967</c:v>
                </c:pt>
                <c:pt idx="8">
                  <c:v>1982</c:v>
                </c:pt>
                <c:pt idx="9">
                  <c:v>2006</c:v>
                </c:pt>
                <c:pt idx="10">
                  <c:v>2011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SLN!$D$2:$D$107</c15:sqref>
                  </c15:fullRef>
                </c:ext>
              </c:extLst>
              <c:f>SLN!$D$3:$D$107</c:f>
              <c:numCache>
                <c:formatCode>General</c:formatCode>
                <c:ptCount val="10"/>
                <c:pt idx="0">
                  <c:v>5235.26</c:v>
                </c:pt>
                <c:pt idx="1">
                  <c:v>2067.19</c:v>
                </c:pt>
                <c:pt idx="2">
                  <c:v>6832.54</c:v>
                </c:pt>
                <c:pt idx="3">
                  <c:v>6772.88</c:v>
                </c:pt>
                <c:pt idx="4">
                  <c:v>13590.86</c:v>
                </c:pt>
                <c:pt idx="5">
                  <c:v>14107</c:v>
                </c:pt>
                <c:pt idx="6">
                  <c:v>25798.09</c:v>
                </c:pt>
                <c:pt idx="7">
                  <c:v>26073.11</c:v>
                </c:pt>
                <c:pt idx="8">
                  <c:v>42588.800000000003</c:v>
                </c:pt>
                <c:pt idx="9">
                  <c:v>38196.959999999999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0-453C-A18E-9A310E3AA99E}"/>
            </c:ext>
          </c:extLst>
        </c:ser>
        <c:ser>
          <c:idx val="1"/>
          <c:order val="1"/>
          <c:tx>
            <c:strRef>
              <c:f>SLN!$G$1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SLN!$B:$B</c15:sqref>
                  </c15:fullRef>
                </c:ext>
              </c:extLst>
              <c:f>SLN!$B$2:$B$1048576</c:f>
              <c:strCache>
                <c:ptCount val="11"/>
                <c:pt idx="0">
                  <c:v>1926</c:v>
                </c:pt>
                <c:pt idx="1">
                  <c:v>1931</c:v>
                </c:pt>
                <c:pt idx="2">
                  <c:v>1934</c:v>
                </c:pt>
                <c:pt idx="3">
                  <c:v>1942</c:v>
                </c:pt>
                <c:pt idx="4">
                  <c:v>1944</c:v>
                </c:pt>
                <c:pt idx="5">
                  <c:v>1946</c:v>
                </c:pt>
                <c:pt idx="6">
                  <c:v>1964</c:v>
                </c:pt>
                <c:pt idx="7">
                  <c:v>1967</c:v>
                </c:pt>
                <c:pt idx="8">
                  <c:v>1982</c:v>
                </c:pt>
                <c:pt idx="9">
                  <c:v>2006</c:v>
                </c:pt>
                <c:pt idx="10">
                  <c:v>2011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SLN!$G$2:$G$107</c15:sqref>
                  </c15:fullRef>
                </c:ext>
              </c:extLst>
              <c:f>SLN!$G$3:$G$107</c:f>
              <c:numCache>
                <c:formatCode>General</c:formatCode>
                <c:ptCount val="10"/>
                <c:pt idx="0">
                  <c:v>2942.56</c:v>
                </c:pt>
                <c:pt idx="1">
                  <c:v>7470.62</c:v>
                </c:pt>
                <c:pt idx="2">
                  <c:v>6715.04</c:v>
                </c:pt>
                <c:pt idx="3">
                  <c:v>7304.58</c:v>
                </c:pt>
                <c:pt idx="4">
                  <c:v>16079.13</c:v>
                </c:pt>
                <c:pt idx="5">
                  <c:v>15245.57</c:v>
                </c:pt>
                <c:pt idx="6">
                  <c:v>24834.16</c:v>
                </c:pt>
                <c:pt idx="7">
                  <c:v>28934.19</c:v>
                </c:pt>
                <c:pt idx="8">
                  <c:v>43854.07</c:v>
                </c:pt>
                <c:pt idx="9">
                  <c:v>40272.949999999997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60-453C-A18E-9A310E3AA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789327"/>
        <c:axId val="991788367"/>
      </c:lineChart>
      <c:catAx>
        <c:axId val="9917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8367"/>
        <c:crosses val="autoZero"/>
        <c:auto val="1"/>
        <c:lblAlgn val="ctr"/>
        <c:lblOffset val="100"/>
        <c:noMultiLvlLbl val="0"/>
      </c:catAx>
      <c:valAx>
        <c:axId val="9917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SLN!$D$1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SLN!$B$19:$B$103</c:f>
              <c:numCache>
                <c:formatCode>General</c:formatCode>
                <c:ptCount val="11"/>
                <c:pt idx="0">
                  <c:v>1926</c:v>
                </c:pt>
                <c:pt idx="1">
                  <c:v>1931</c:v>
                </c:pt>
                <c:pt idx="2">
                  <c:v>1934</c:v>
                </c:pt>
                <c:pt idx="3">
                  <c:v>1942</c:v>
                </c:pt>
                <c:pt idx="4">
                  <c:v>1944</c:v>
                </c:pt>
                <c:pt idx="5">
                  <c:v>1946</c:v>
                </c:pt>
                <c:pt idx="6">
                  <c:v>1964</c:v>
                </c:pt>
                <c:pt idx="7">
                  <c:v>1967</c:v>
                </c:pt>
                <c:pt idx="8">
                  <c:v>1982</c:v>
                </c:pt>
                <c:pt idx="9">
                  <c:v>2006</c:v>
                </c:pt>
                <c:pt idx="10">
                  <c:v>2011</c:v>
                </c:pt>
              </c:numCache>
            </c:numRef>
          </c:cat>
          <c:val>
            <c:numRef>
              <c:f>SLN!$D$19:$D$103</c:f>
              <c:numCache>
                <c:formatCode>General</c:formatCode>
                <c:ptCount val="11"/>
                <c:pt idx="0">
                  <c:v>3535.18</c:v>
                </c:pt>
                <c:pt idx="1">
                  <c:v>5235.26</c:v>
                </c:pt>
                <c:pt idx="2">
                  <c:v>2067.19</c:v>
                </c:pt>
                <c:pt idx="3">
                  <c:v>6832.54</c:v>
                </c:pt>
                <c:pt idx="4">
                  <c:v>6772.88</c:v>
                </c:pt>
                <c:pt idx="5">
                  <c:v>13590.86</c:v>
                </c:pt>
                <c:pt idx="6">
                  <c:v>14107</c:v>
                </c:pt>
                <c:pt idx="7">
                  <c:v>25798.09</c:v>
                </c:pt>
                <c:pt idx="8">
                  <c:v>26073.11</c:v>
                </c:pt>
                <c:pt idx="9">
                  <c:v>42588.800000000003</c:v>
                </c:pt>
                <c:pt idx="10">
                  <c:v>38196.959999999999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B1-4205-8C4A-E0E267AFC5AD}"/>
            </c:ext>
          </c:extLst>
        </c:ser>
        <c:ser>
          <c:idx val="0"/>
          <c:order val="1"/>
          <c:tx>
            <c:strRef>
              <c:f>SLN!$G$1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SLN!$B$19:$B$103</c:f>
              <c:numCache>
                <c:formatCode>General</c:formatCode>
                <c:ptCount val="11"/>
                <c:pt idx="0">
                  <c:v>1926</c:v>
                </c:pt>
                <c:pt idx="1">
                  <c:v>1931</c:v>
                </c:pt>
                <c:pt idx="2">
                  <c:v>1934</c:v>
                </c:pt>
                <c:pt idx="3">
                  <c:v>1942</c:v>
                </c:pt>
                <c:pt idx="4">
                  <c:v>1944</c:v>
                </c:pt>
                <c:pt idx="5">
                  <c:v>1946</c:v>
                </c:pt>
                <c:pt idx="6">
                  <c:v>1964</c:v>
                </c:pt>
                <c:pt idx="7">
                  <c:v>1967</c:v>
                </c:pt>
                <c:pt idx="8">
                  <c:v>1982</c:v>
                </c:pt>
                <c:pt idx="9">
                  <c:v>2006</c:v>
                </c:pt>
                <c:pt idx="10">
                  <c:v>2011</c:v>
                </c:pt>
              </c:numCache>
            </c:numRef>
          </c:cat>
          <c:val>
            <c:numRef>
              <c:f>SLN!$G$2:$G$103</c:f>
              <c:numCache>
                <c:formatCode>General</c:formatCode>
                <c:ptCount val="11"/>
                <c:pt idx="0">
                  <c:v>7814.31</c:v>
                </c:pt>
                <c:pt idx="1">
                  <c:v>2942.56</c:v>
                </c:pt>
                <c:pt idx="2">
                  <c:v>7470.62</c:v>
                </c:pt>
                <c:pt idx="3">
                  <c:v>6715.04</c:v>
                </c:pt>
                <c:pt idx="4">
                  <c:v>7304.58</c:v>
                </c:pt>
                <c:pt idx="5">
                  <c:v>16079.13</c:v>
                </c:pt>
                <c:pt idx="6">
                  <c:v>15245.57</c:v>
                </c:pt>
                <c:pt idx="7">
                  <c:v>24834.16</c:v>
                </c:pt>
                <c:pt idx="8">
                  <c:v>28934.19</c:v>
                </c:pt>
                <c:pt idx="9">
                  <c:v>43854.07</c:v>
                </c:pt>
                <c:pt idx="10">
                  <c:v>40272.949999999997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B1-4205-8C4A-E0E267AF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565616"/>
        <c:axId val="1961567536"/>
        <c:extLst/>
      </c:barChart>
      <c:catAx>
        <c:axId val="19615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7536"/>
        <c:crosses val="autoZero"/>
        <c:auto val="1"/>
        <c:lblAlgn val="ctr"/>
        <c:lblOffset val="100"/>
        <c:noMultiLvlLbl val="0"/>
      </c:catAx>
      <c:valAx>
        <c:axId val="19615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SLN!$H$1</c:f>
              <c:strCache>
                <c:ptCount val="1"/>
                <c:pt idx="0">
                  <c:v>attendance_growth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SLN!$E$19:$E$103</c:f>
              <c:numCache>
                <c:formatCode>General</c:formatCode>
                <c:ptCount val="11"/>
                <c:pt idx="0">
                  <c:v>1927</c:v>
                </c:pt>
                <c:pt idx="1">
                  <c:v>1932</c:v>
                </c:pt>
                <c:pt idx="2">
                  <c:v>1935</c:v>
                </c:pt>
                <c:pt idx="3">
                  <c:v>1943</c:v>
                </c:pt>
                <c:pt idx="4">
                  <c:v>1945</c:v>
                </c:pt>
                <c:pt idx="5">
                  <c:v>1947</c:v>
                </c:pt>
                <c:pt idx="6">
                  <c:v>1965</c:v>
                </c:pt>
                <c:pt idx="7">
                  <c:v>1968</c:v>
                </c:pt>
                <c:pt idx="8">
                  <c:v>1983</c:v>
                </c:pt>
                <c:pt idx="9">
                  <c:v>2007</c:v>
                </c:pt>
                <c:pt idx="10">
                  <c:v>2012</c:v>
                </c:pt>
              </c:numCache>
            </c:numRef>
          </c:cat>
          <c:val>
            <c:numRef>
              <c:f>SLN!$H$2:$H$103</c:f>
              <c:numCache>
                <c:formatCode>General</c:formatCode>
                <c:ptCount val="11"/>
                <c:pt idx="0">
                  <c:v>4279.13</c:v>
                </c:pt>
                <c:pt idx="1">
                  <c:v>-2292.6999999999998</c:v>
                </c:pt>
                <c:pt idx="2">
                  <c:v>5403.43</c:v>
                </c:pt>
                <c:pt idx="3">
                  <c:v>-117.5</c:v>
                </c:pt>
                <c:pt idx="4">
                  <c:v>531.70000000000005</c:v>
                </c:pt>
                <c:pt idx="5">
                  <c:v>2488.27</c:v>
                </c:pt>
                <c:pt idx="6">
                  <c:v>1138.57</c:v>
                </c:pt>
                <c:pt idx="7">
                  <c:v>-963.93</c:v>
                </c:pt>
                <c:pt idx="8">
                  <c:v>2861.08</c:v>
                </c:pt>
                <c:pt idx="9">
                  <c:v>1265.27</c:v>
                </c:pt>
                <c:pt idx="10">
                  <c:v>2075.9899999999998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A-4039-AC3B-2F3DC98D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9951"/>
        <c:axId val="77812751"/>
      </c:barChart>
      <c:catAx>
        <c:axId val="778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2751"/>
        <c:crosses val="autoZero"/>
        <c:auto val="1"/>
        <c:lblAlgn val="ctr"/>
        <c:lblOffset val="100"/>
        <c:noMultiLvlLbl val="0"/>
      </c:catAx>
      <c:valAx>
        <c:axId val="778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'NY1'!$D$1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'NY1'!$B$4:$B$47</c:f>
              <c:numCache>
                <c:formatCode>General</c:formatCode>
                <c:ptCount val="6"/>
                <c:pt idx="0">
                  <c:v>1888</c:v>
                </c:pt>
                <c:pt idx="1">
                  <c:v>1889</c:v>
                </c:pt>
                <c:pt idx="2">
                  <c:v>1921</c:v>
                </c:pt>
                <c:pt idx="3">
                  <c:v>1922</c:v>
                </c:pt>
                <c:pt idx="4">
                  <c:v>1933</c:v>
                </c:pt>
                <c:pt idx="5">
                  <c:v>1954</c:v>
                </c:pt>
              </c:numCache>
            </c:numRef>
          </c:cat>
          <c:val>
            <c:numRef>
              <c:f>'NY1'!$D$4:$D$47</c:f>
              <c:numCache>
                <c:formatCode>General</c:formatCode>
                <c:ptCount val="6"/>
                <c:pt idx="0">
                  <c:v>741.43</c:v>
                </c:pt>
                <c:pt idx="1">
                  <c:v>118.89</c:v>
                </c:pt>
                <c:pt idx="2">
                  <c:v>14424.05</c:v>
                </c:pt>
                <c:pt idx="3">
                  <c:v>12316.46</c:v>
                </c:pt>
                <c:pt idx="4">
                  <c:v>8746.75</c:v>
                </c:pt>
                <c:pt idx="5">
                  <c:v>15329.88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10-49AE-8A3D-FF3E1D416F02}"/>
            </c:ext>
          </c:extLst>
        </c:ser>
        <c:ser>
          <c:idx val="1"/>
          <c:order val="1"/>
          <c:tx>
            <c:strRef>
              <c:f>'NY1'!$G$1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'NY1'!$B$4:$B$47</c:f>
              <c:numCache>
                <c:formatCode>General</c:formatCode>
                <c:ptCount val="6"/>
                <c:pt idx="0">
                  <c:v>1888</c:v>
                </c:pt>
                <c:pt idx="1">
                  <c:v>1889</c:v>
                </c:pt>
                <c:pt idx="2">
                  <c:v>1921</c:v>
                </c:pt>
                <c:pt idx="3">
                  <c:v>1922</c:v>
                </c:pt>
                <c:pt idx="4">
                  <c:v>1933</c:v>
                </c:pt>
                <c:pt idx="5">
                  <c:v>1954</c:v>
                </c:pt>
              </c:numCache>
            </c:numRef>
          </c:cat>
          <c:val>
            <c:numRef>
              <c:f>'NY1'!$G$2:$G$47</c:f>
              <c:numCache>
                <c:formatCode>General</c:formatCode>
                <c:ptCount val="6"/>
                <c:pt idx="0">
                  <c:v>118.89</c:v>
                </c:pt>
                <c:pt idx="1">
                  <c:v>152.33000000000001</c:v>
                </c:pt>
                <c:pt idx="2">
                  <c:v>12316.46</c:v>
                </c:pt>
                <c:pt idx="3">
                  <c:v>13090.91</c:v>
                </c:pt>
                <c:pt idx="4">
                  <c:v>5034.3100000000004</c:v>
                </c:pt>
                <c:pt idx="5">
                  <c:v>10445.59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10-49AE-8A3D-FF3E1D416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789327"/>
        <c:axId val="991788367"/>
      </c:lineChart>
      <c:catAx>
        <c:axId val="9917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8367"/>
        <c:crosses val="autoZero"/>
        <c:auto val="1"/>
        <c:lblAlgn val="ctr"/>
        <c:lblOffset val="100"/>
        <c:noMultiLvlLbl val="0"/>
      </c:catAx>
      <c:valAx>
        <c:axId val="9917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'NY1'!$D$1</c:f>
              <c:strCache>
                <c:ptCount val="1"/>
                <c:pt idx="0">
                  <c:v>ws_win_avg_home_attendance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'NY1'!$D$4:$D$47</c:f>
              <c:numCache>
                <c:formatCode>General</c:formatCode>
                <c:ptCount val="6"/>
                <c:pt idx="0">
                  <c:v>741.43</c:v>
                </c:pt>
                <c:pt idx="1">
                  <c:v>118.89</c:v>
                </c:pt>
                <c:pt idx="2">
                  <c:v>14424.05</c:v>
                </c:pt>
                <c:pt idx="3">
                  <c:v>12316.46</c:v>
                </c:pt>
                <c:pt idx="4">
                  <c:v>8746.75</c:v>
                </c:pt>
                <c:pt idx="5">
                  <c:v>15329.88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29-406A-892B-8F5D075504C5}"/>
            </c:ext>
          </c:extLst>
        </c:ser>
        <c:ser>
          <c:idx val="0"/>
          <c:order val="1"/>
          <c:tx>
            <c:strRef>
              <c:f>'NY1'!$G$1</c:f>
              <c:strCache>
                <c:ptCount val="1"/>
                <c:pt idx="0">
                  <c:v>next_year_avg_home_attendance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'NY1'!$B:$B</c:f>
              <c:strCache>
                <c:ptCount val="7"/>
                <c:pt idx="0">
                  <c:v>win_year</c:v>
                </c:pt>
                <c:pt idx="1">
                  <c:v>1888</c:v>
                </c:pt>
                <c:pt idx="2">
                  <c:v>1889</c:v>
                </c:pt>
                <c:pt idx="3">
                  <c:v>1921</c:v>
                </c:pt>
                <c:pt idx="4">
                  <c:v>1922</c:v>
                </c:pt>
                <c:pt idx="5">
                  <c:v>1933</c:v>
                </c:pt>
                <c:pt idx="6">
                  <c:v>1954</c:v>
                </c:pt>
              </c:strCache>
            </c:strRef>
          </c:cat>
          <c:val>
            <c:numRef>
              <c:f>'NY1'!$G$2:$G$47</c:f>
              <c:numCache>
                <c:formatCode>General</c:formatCode>
                <c:ptCount val="6"/>
                <c:pt idx="0">
                  <c:v>118.89</c:v>
                </c:pt>
                <c:pt idx="1">
                  <c:v>152.33000000000001</c:v>
                </c:pt>
                <c:pt idx="2">
                  <c:v>12316.46</c:v>
                </c:pt>
                <c:pt idx="3">
                  <c:v>13090.91</c:v>
                </c:pt>
                <c:pt idx="4">
                  <c:v>5034.3100000000004</c:v>
                </c:pt>
                <c:pt idx="5">
                  <c:v>10445.59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9-406A-892B-8F5D07550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565616"/>
        <c:axId val="1961567536"/>
        <c:extLst>
          <c:ext xmlns:c15="http://schemas.microsoft.com/office/drawing/2012/chart" uri="{02D57815-91ED-43cb-92C2-25804820EDAC}">
            <c15:filteredBa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'NY1'!$H$1</c15:sqref>
                        </c15:formulaRef>
                      </c:ext>
                    </c:extLst>
                    <c:strCache>
                      <c:ptCount val="1"/>
                      <c:pt idx="0">
                        <c:v>attendance_growth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'NY1'!$B:$B</c15:sqref>
                        </c15:formulaRef>
                      </c:ext>
                    </c:extLst>
                    <c:strCache>
                      <c:ptCount val="7"/>
                      <c:pt idx="0">
                        <c:v>win_year</c:v>
                      </c:pt>
                      <c:pt idx="1">
                        <c:v>1888</c:v>
                      </c:pt>
                      <c:pt idx="2">
                        <c:v>1889</c:v>
                      </c:pt>
                      <c:pt idx="3">
                        <c:v>1921</c:v>
                      </c:pt>
                      <c:pt idx="4">
                        <c:v>1922</c:v>
                      </c:pt>
                      <c:pt idx="5">
                        <c:v>1933</c:v>
                      </c:pt>
                      <c:pt idx="6">
                        <c:v>1954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'NY1'!$H$2:$H$47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-622.54</c:v>
                      </c:pt>
                      <c:pt idx="1">
                        <c:v>33.44</c:v>
                      </c:pt>
                      <c:pt idx="2">
                        <c:v>-2107.59</c:v>
                      </c:pt>
                      <c:pt idx="3">
                        <c:v>774.45</c:v>
                      </c:pt>
                      <c:pt idx="4">
                        <c:v>-3712.44</c:v>
                      </c:pt>
                      <c:pt idx="5">
                        <c:v>-4884.29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129-406A-892B-8F5D075504C5}"/>
                  </c:ext>
                </c:extLst>
              </c15:ser>
            </c15:filteredBarSeries>
          </c:ext>
        </c:extLst>
      </c:barChart>
      <c:catAx>
        <c:axId val="19615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7536"/>
        <c:crosses val="autoZero"/>
        <c:auto val="1"/>
        <c:lblAlgn val="ctr"/>
        <c:lblOffset val="100"/>
        <c:noMultiLvlLbl val="0"/>
      </c:catAx>
      <c:valAx>
        <c:axId val="19615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'NY1'!$H$1</c:f>
              <c:strCache>
                <c:ptCount val="1"/>
                <c:pt idx="0">
                  <c:v>attendance_growth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'NY1'!$E$4:$E$47</c:f>
              <c:numCache>
                <c:formatCode>General</c:formatCode>
                <c:ptCount val="6"/>
                <c:pt idx="0">
                  <c:v>1889</c:v>
                </c:pt>
                <c:pt idx="1">
                  <c:v>1890</c:v>
                </c:pt>
                <c:pt idx="2">
                  <c:v>1922</c:v>
                </c:pt>
                <c:pt idx="3">
                  <c:v>1923</c:v>
                </c:pt>
                <c:pt idx="4">
                  <c:v>1934</c:v>
                </c:pt>
                <c:pt idx="5">
                  <c:v>1955</c:v>
                </c:pt>
              </c:numCache>
            </c:numRef>
          </c:cat>
          <c:val>
            <c:numRef>
              <c:f>'NY1'!$H$2:$H$47</c:f>
              <c:numCache>
                <c:formatCode>General</c:formatCode>
                <c:ptCount val="6"/>
                <c:pt idx="0">
                  <c:v>-622.54</c:v>
                </c:pt>
                <c:pt idx="1">
                  <c:v>33.44</c:v>
                </c:pt>
                <c:pt idx="2">
                  <c:v>-2107.59</c:v>
                </c:pt>
                <c:pt idx="3">
                  <c:v>774.45</c:v>
                </c:pt>
                <c:pt idx="4">
                  <c:v>-3712.44</c:v>
                </c:pt>
                <c:pt idx="5">
                  <c:v>-4884.29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8-4764-9DDF-26BD9E28C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363520"/>
        <c:axId val="2119361120"/>
      </c:barChart>
      <c:catAx>
        <c:axId val="21193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61120"/>
        <c:crosses val="autoZero"/>
        <c:auto val="1"/>
        <c:lblAlgn val="ctr"/>
        <c:lblOffset val="100"/>
        <c:noMultiLvlLbl val="0"/>
      </c:catAx>
      <c:valAx>
        <c:axId val="21193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1</xdr:row>
      <xdr:rowOff>4761</xdr:rowOff>
    </xdr:from>
    <xdr:to>
      <xdr:col>30</xdr:col>
      <xdr:colOff>9524</xdr:colOff>
      <xdr:row>32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CDCA8-5C57-9E8A-B1A5-90A3E8F46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609599</xdr:colOff>
      <xdr:row>33</xdr:row>
      <xdr:rowOff>0</xdr:rowOff>
    </xdr:from>
    <xdr:to>
      <xdr:col>46</xdr:col>
      <xdr:colOff>28575</xdr:colOff>
      <xdr:row>65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56F800-D6A7-5959-2874-B22B6F26C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609599</xdr:colOff>
      <xdr:row>67</xdr:row>
      <xdr:rowOff>4762</xdr:rowOff>
    </xdr:from>
    <xdr:to>
      <xdr:col>39</xdr:col>
      <xdr:colOff>0</xdr:colOff>
      <xdr:row>97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8FC714-F8B2-3C36-16BD-28BC376CF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15</xdr:row>
      <xdr:rowOff>9525</xdr:rowOff>
    </xdr:from>
    <xdr:to>
      <xdr:col>27</xdr:col>
      <xdr:colOff>19049</xdr:colOff>
      <xdr:row>89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12B3B-F252-4344-B591-D2D1FF676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90</xdr:row>
      <xdr:rowOff>190499</xdr:rowOff>
    </xdr:from>
    <xdr:to>
      <xdr:col>27</xdr:col>
      <xdr:colOff>38100</xdr:colOff>
      <xdr:row>126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2C42A9-7CBC-4165-86EB-6F0A8C5B4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109</xdr:row>
      <xdr:rowOff>14286</xdr:rowOff>
    </xdr:from>
    <xdr:to>
      <xdr:col>8</xdr:col>
      <xdr:colOff>9525</xdr:colOff>
      <xdr:row>130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C95E9A-408A-9744-EEF5-CF2AC4C28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0</xdr:row>
      <xdr:rowOff>185735</xdr:rowOff>
    </xdr:from>
    <xdr:to>
      <xdr:col>23</xdr:col>
      <xdr:colOff>581025</xdr:colOff>
      <xdr:row>115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1E0D0-C800-4DBC-88B1-7CA16ECDD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117</xdr:row>
      <xdr:rowOff>19050</xdr:rowOff>
    </xdr:from>
    <xdr:to>
      <xdr:col>24</xdr:col>
      <xdr:colOff>95250</xdr:colOff>
      <xdr:row>138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B8605-5EA9-46C4-A3EB-C35730532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110</xdr:row>
      <xdr:rowOff>14287</xdr:rowOff>
    </xdr:from>
    <xdr:to>
      <xdr:col>7</xdr:col>
      <xdr:colOff>1381124</xdr:colOff>
      <xdr:row>131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9599A3-FD29-D224-9295-2E912D2C3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0</xdr:row>
      <xdr:rowOff>185735</xdr:rowOff>
    </xdr:from>
    <xdr:to>
      <xdr:col>23</xdr:col>
      <xdr:colOff>581025</xdr:colOff>
      <xdr:row>115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9A0B4-6683-4B73-A4FF-373770B5B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117</xdr:row>
      <xdr:rowOff>19050</xdr:rowOff>
    </xdr:from>
    <xdr:to>
      <xdr:col>24</xdr:col>
      <xdr:colOff>95250</xdr:colOff>
      <xdr:row>138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5D0981-B907-410B-9197-9FC25D7BC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109</xdr:row>
      <xdr:rowOff>14286</xdr:rowOff>
    </xdr:from>
    <xdr:to>
      <xdr:col>6</xdr:col>
      <xdr:colOff>2228850</xdr:colOff>
      <xdr:row>130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0AA74D-8464-429D-B9DD-4A78CDD7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icWork" refreshedDate="46069.605407870367" createdVersion="8" refreshedVersion="8" minRefreshableVersion="3" recordCount="107" xr:uid="{E50EAA58-FB9F-4EA2-B910-6CD0C8A33BDF}">
  <cacheSource type="worksheet">
    <worksheetSource ref="A1:A1048576" sheet="attendance_after_ws_win"/>
  </cacheSource>
  <cacheFields count="1">
    <cacheField name="team" numFmtId="0">
      <sharedItems containsBlank="1" count="30">
        <s v="SL4"/>
        <s v="DTN"/>
        <s v="NY1"/>
        <s v="PHA"/>
        <s v="BOS"/>
        <s v="BSN"/>
        <s v="CHA"/>
        <s v="CIN"/>
        <s v="CLE"/>
        <s v="NYA"/>
        <s v="WS1"/>
        <s v="PIT"/>
        <s v="SLN"/>
        <s v="DET"/>
        <s v="BRO"/>
        <s v="ML1"/>
        <s v="LAN"/>
        <s v="BAL"/>
        <s v="NYN"/>
        <s v="OAK"/>
        <s v="PHI"/>
        <s v="KCA"/>
        <s v="MIN"/>
        <s v="TOR"/>
        <s v="ATL"/>
        <s v="FLO"/>
        <s v="ARI"/>
        <s v="ANA"/>
        <s v="SF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</r>
  <r>
    <x v="1"/>
  </r>
  <r>
    <x v="2"/>
  </r>
  <r>
    <x v="2"/>
  </r>
  <r>
    <x v="3"/>
  </r>
  <r>
    <x v="4"/>
  </r>
  <r>
    <x v="3"/>
  </r>
  <r>
    <x v="5"/>
  </r>
  <r>
    <x v="6"/>
  </r>
  <r>
    <x v="4"/>
  </r>
  <r>
    <x v="7"/>
  </r>
  <r>
    <x v="8"/>
  </r>
  <r>
    <x v="2"/>
  </r>
  <r>
    <x v="2"/>
  </r>
  <r>
    <x v="9"/>
  </r>
  <r>
    <x v="10"/>
  </r>
  <r>
    <x v="11"/>
  </r>
  <r>
    <x v="12"/>
  </r>
  <r>
    <x v="9"/>
  </r>
  <r>
    <x v="9"/>
  </r>
  <r>
    <x v="3"/>
  </r>
  <r>
    <x v="3"/>
  </r>
  <r>
    <x v="12"/>
  </r>
  <r>
    <x v="9"/>
  </r>
  <r>
    <x v="2"/>
  </r>
  <r>
    <x v="12"/>
  </r>
  <r>
    <x v="13"/>
  </r>
  <r>
    <x v="9"/>
  </r>
  <r>
    <x v="9"/>
  </r>
  <r>
    <x v="9"/>
  </r>
  <r>
    <x v="9"/>
  </r>
  <r>
    <x v="7"/>
  </r>
  <r>
    <x v="9"/>
  </r>
  <r>
    <x v="12"/>
  </r>
  <r>
    <x v="9"/>
  </r>
  <r>
    <x v="12"/>
  </r>
  <r>
    <x v="13"/>
  </r>
  <r>
    <x v="12"/>
  </r>
  <r>
    <x v="9"/>
  </r>
  <r>
    <x v="8"/>
  </r>
  <r>
    <x v="9"/>
  </r>
  <r>
    <x v="9"/>
  </r>
  <r>
    <x v="9"/>
  </r>
  <r>
    <x v="9"/>
  </r>
  <r>
    <x v="9"/>
  </r>
  <r>
    <x v="2"/>
  </r>
  <r>
    <x v="14"/>
  </r>
  <r>
    <x v="9"/>
  </r>
  <r>
    <x v="15"/>
  </r>
  <r>
    <x v="9"/>
  </r>
  <r>
    <x v="16"/>
  </r>
  <r>
    <x v="11"/>
  </r>
  <r>
    <x v="9"/>
  </r>
  <r>
    <x v="9"/>
  </r>
  <r>
    <x v="16"/>
  </r>
  <r>
    <x v="12"/>
  </r>
  <r>
    <x v="16"/>
  </r>
  <r>
    <x v="17"/>
  </r>
  <r>
    <x v="12"/>
  </r>
  <r>
    <x v="13"/>
  </r>
  <r>
    <x v="18"/>
  </r>
  <r>
    <x v="17"/>
  </r>
  <r>
    <x v="11"/>
  </r>
  <r>
    <x v="19"/>
  </r>
  <r>
    <x v="19"/>
  </r>
  <r>
    <x v="19"/>
  </r>
  <r>
    <x v="7"/>
  </r>
  <r>
    <x v="7"/>
  </r>
  <r>
    <x v="9"/>
  </r>
  <r>
    <x v="9"/>
  </r>
  <r>
    <x v="11"/>
  </r>
  <r>
    <x v="20"/>
  </r>
  <r>
    <x v="16"/>
  </r>
  <r>
    <x v="12"/>
  </r>
  <r>
    <x v="17"/>
  </r>
  <r>
    <x v="13"/>
  </r>
  <r>
    <x v="21"/>
  </r>
  <r>
    <x v="18"/>
  </r>
  <r>
    <x v="22"/>
  </r>
  <r>
    <x v="16"/>
  </r>
  <r>
    <x v="19"/>
  </r>
  <r>
    <x v="7"/>
  </r>
  <r>
    <x v="22"/>
  </r>
  <r>
    <x v="23"/>
  </r>
  <r>
    <x v="23"/>
  </r>
  <r>
    <x v="24"/>
  </r>
  <r>
    <x v="9"/>
  </r>
  <r>
    <x v="25"/>
  </r>
  <r>
    <x v="9"/>
  </r>
  <r>
    <x v="9"/>
  </r>
  <r>
    <x v="9"/>
  </r>
  <r>
    <x v="26"/>
  </r>
  <r>
    <x v="27"/>
  </r>
  <r>
    <x v="25"/>
  </r>
  <r>
    <x v="4"/>
  </r>
  <r>
    <x v="6"/>
  </r>
  <r>
    <x v="12"/>
  </r>
  <r>
    <x v="4"/>
  </r>
  <r>
    <x v="20"/>
  </r>
  <r>
    <x v="9"/>
  </r>
  <r>
    <x v="28"/>
  </r>
  <r>
    <x v="12"/>
  </r>
  <r>
    <x v="28"/>
  </r>
  <r>
    <x v="4"/>
  </r>
  <r>
    <x v="28"/>
  </r>
  <r>
    <x v="21"/>
  </r>
  <r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CFBB3-8977-488D-9C83-20FD25A71F6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">
    <pivotField axis="axisRow" dataField="1" showAll="0" sortType="descending">
      <items count="31">
        <item x="27"/>
        <item x="26"/>
        <item x="24"/>
        <item x="17"/>
        <item x="4"/>
        <item x="14"/>
        <item x="5"/>
        <item x="6"/>
        <item x="7"/>
        <item x="8"/>
        <item x="13"/>
        <item x="1"/>
        <item x="25"/>
        <item x="21"/>
        <item x="16"/>
        <item x="22"/>
        <item x="15"/>
        <item x="2"/>
        <item x="9"/>
        <item x="18"/>
        <item x="19"/>
        <item x="3"/>
        <item x="20"/>
        <item x="11"/>
        <item x="28"/>
        <item x="0"/>
        <item x="12"/>
        <item x="23"/>
        <item x="10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1">
    <i>
      <x v="18"/>
    </i>
    <i>
      <x v="26"/>
    </i>
    <i>
      <x v="17"/>
    </i>
    <i>
      <x v="4"/>
    </i>
    <i>
      <x v="8"/>
    </i>
    <i>
      <x v="14"/>
    </i>
    <i>
      <x v="23"/>
    </i>
    <i>
      <x v="21"/>
    </i>
    <i>
      <x v="10"/>
    </i>
    <i>
      <x v="20"/>
    </i>
    <i>
      <x v="24"/>
    </i>
    <i>
      <x v="3"/>
    </i>
    <i>
      <x v="27"/>
    </i>
    <i>
      <x v="22"/>
    </i>
    <i>
      <x v="9"/>
    </i>
    <i>
      <x v="13"/>
    </i>
    <i>
      <x v="7"/>
    </i>
    <i>
      <x v="15"/>
    </i>
    <i>
      <x v="12"/>
    </i>
    <i>
      <x v="19"/>
    </i>
    <i>
      <x v="28"/>
    </i>
    <i>
      <x v="25"/>
    </i>
    <i>
      <x v="11"/>
    </i>
    <i>
      <x v="16"/>
    </i>
    <i>
      <x v="5"/>
    </i>
    <i>
      <x v="6"/>
    </i>
    <i>
      <x/>
    </i>
    <i>
      <x v="1"/>
    </i>
    <i>
      <x v="2"/>
    </i>
    <i>
      <x v="29"/>
    </i>
    <i t="grand">
      <x/>
    </i>
  </rowItems>
  <colItems count="1">
    <i/>
  </colItems>
  <dataFields count="1">
    <dataField name="Count of tea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DD9C1E-3D6A-4EDF-B975-D53FACBCBA22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win_year" tableColumnId="2"/>
      <queryTableField id="3" name="wswin" tableColumnId="3"/>
      <queryTableField id="4" name="ws_win_avg_home_attendance" tableColumnId="4"/>
      <queryTableField id="5" name="next_year" tableColumnId="5"/>
      <queryTableField id="6" name="wswin-2" tableColumnId="6"/>
      <queryTableField id="7" name="next_year_avg_home_attendance" tableColumnId="7"/>
      <queryTableField id="8" name="attendance_growth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16461C-02ED-42BC-83CF-9343A48657E7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win_year" tableColumnId="2"/>
      <queryTableField id="3" name="wswin" tableColumnId="3"/>
      <queryTableField id="4" name="ws_win_avg_home_attendance" tableColumnId="4"/>
      <queryTableField id="5" name="next_year" tableColumnId="5"/>
      <queryTableField id="6" name="wswin-2" tableColumnId="6"/>
      <queryTableField id="7" name="next_year_avg_home_attendance" tableColumnId="7"/>
      <queryTableField id="8" name="attendance_growth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F4F7A7-6415-48A4-B341-ED4276750928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win_year" tableColumnId="2"/>
      <queryTableField id="3" name="wswin" tableColumnId="3"/>
      <queryTableField id="4" name="ws_win_avg_home_attendance" tableColumnId="4"/>
      <queryTableField id="5" name="next_year" tableColumnId="5"/>
      <queryTableField id="6" name="wswin-2" tableColumnId="6"/>
      <queryTableField id="7" name="next_year_avg_home_attendance" tableColumnId="7"/>
      <queryTableField id="8" name="attendance_growth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22DC600-1660-4119-90DE-67DB9C883CEF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win_year" tableColumnId="2"/>
      <queryTableField id="3" name="wswin" tableColumnId="3"/>
      <queryTableField id="4" name="ws_win_avg_home_attendance" tableColumnId="4"/>
      <queryTableField id="5" name="next_year" tableColumnId="5"/>
      <queryTableField id="6" name="wswin-2" tableColumnId="6"/>
      <queryTableField id="7" name="next_year_avg_home_attendance" tableColumnId="7"/>
      <queryTableField id="8" name="attendance_grow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17AD6-C2ED-4022-A6DC-43190304E43E}" name="attendance_after_ws_win" displayName="attendance_after_ws_win" ref="A1:H107" tableType="queryTable" totalsRowShown="0">
  <autoFilter ref="A1:H107" xr:uid="{A0417AD6-C2ED-4022-A6DC-43190304E43E}"/>
  <tableColumns count="8">
    <tableColumn id="1" xr3:uid="{3E70C07A-0784-44FA-A636-12F747C72102}" uniqueName="1" name="team" queryTableFieldId="1" dataDxfId="11"/>
    <tableColumn id="2" xr3:uid="{11D64D11-684B-4363-8DBF-E66C8BA5C7FD}" uniqueName="2" name="win_year" queryTableFieldId="2"/>
    <tableColumn id="3" xr3:uid="{23260150-1B0E-40DE-B6BB-4E82F0F3FC0C}" uniqueName="3" name="wswin" queryTableFieldId="3" dataDxfId="10"/>
    <tableColumn id="4" xr3:uid="{4A709DC9-0B04-43C3-AF2C-8CEC7348D45D}" uniqueName="4" name="ws_win_avg_home_attendance" queryTableFieldId="4"/>
    <tableColumn id="5" xr3:uid="{198164C4-132D-41C6-BF9C-09DFD72A5112}" uniqueName="5" name="next_year" queryTableFieldId="5"/>
    <tableColumn id="6" xr3:uid="{DA3D08A7-F122-471B-8F90-75C726F1B76E}" uniqueName="6" name="wswin-2" queryTableFieldId="6" dataDxfId="9"/>
    <tableColumn id="7" xr3:uid="{E89D1D1A-D7F2-4255-A4F2-7774E00645CE}" uniqueName="7" name="next_year_avg_home_attendance" queryTableFieldId="7"/>
    <tableColumn id="8" xr3:uid="{4EB8C637-F5A1-47B8-8358-79A882409567}" uniqueName="8" name="attendance_growth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B99EF-246A-4880-8B8F-E75BD2B40D14}" name="attendance_after_ws_win3" displayName="attendance_after_ws_win3" ref="A1:H107" tableType="queryTable" totalsRowShown="0">
  <autoFilter ref="A1:H107" xr:uid="{A0417AD6-C2ED-4022-A6DC-43190304E43E}">
    <filterColumn colId="0">
      <filters>
        <filter val="NYA"/>
      </filters>
    </filterColumn>
  </autoFilter>
  <tableColumns count="8">
    <tableColumn id="1" xr3:uid="{2A106DCB-6917-4CD7-99EB-8F3F566013BC}" uniqueName="1" name="team" queryTableFieldId="1" dataDxfId="8"/>
    <tableColumn id="2" xr3:uid="{95FA55B6-7DB9-487A-BDDA-63C897BFA7E1}" uniqueName="2" name="win_year" queryTableFieldId="2"/>
    <tableColumn id="3" xr3:uid="{55D8CDFC-34A9-45F1-92F5-985A28509F42}" uniqueName="3" name="wswin" queryTableFieldId="3" dataDxfId="7"/>
    <tableColumn id="4" xr3:uid="{49310E0D-A6F0-4E84-BF41-169D4DAD1A94}" uniqueName="4" name="ws_win_avg_home_attendance" queryTableFieldId="4"/>
    <tableColumn id="5" xr3:uid="{339A0108-190E-4149-877C-27E7A5CE6CEF}" uniqueName="5" name="next_year" queryTableFieldId="5"/>
    <tableColumn id="6" xr3:uid="{CEC3F6D3-8FA8-4DDC-9BF3-2C1DE47A38A3}" uniqueName="6" name="wswin-2" queryTableFieldId="6" dataDxfId="6"/>
    <tableColumn id="7" xr3:uid="{C189530D-530F-4291-8F68-9DB64AD2C7C0}" uniqueName="7" name="next_year_avg_home_attendance" queryTableFieldId="7"/>
    <tableColumn id="8" xr3:uid="{8AA8A0F5-AFF3-4784-BEFF-9BF6E08242D3}" uniqueName="8" name="attendance_growth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CF05E-1953-43AC-8928-6026C5946071}" name="attendance_after_ws_win34" displayName="attendance_after_ws_win34" ref="A1:H107" tableType="queryTable" totalsRowShown="0">
  <autoFilter ref="A1:H107" xr:uid="{A0417AD6-C2ED-4022-A6DC-43190304E43E}">
    <filterColumn colId="0">
      <filters>
        <filter val="SLN"/>
      </filters>
    </filterColumn>
  </autoFilter>
  <tableColumns count="8">
    <tableColumn id="1" xr3:uid="{86A3A411-F35E-486C-92B4-7691345EC567}" uniqueName="1" name="team" queryTableFieldId="1" dataDxfId="5"/>
    <tableColumn id="2" xr3:uid="{BC73ADAF-CBA4-4F05-920A-21F8BE3A5113}" uniqueName="2" name="win_year" queryTableFieldId="2"/>
    <tableColumn id="3" xr3:uid="{6B21FC64-A0A9-4725-8D33-E53AB5EAF976}" uniqueName="3" name="wswin" queryTableFieldId="3" dataDxfId="4"/>
    <tableColumn id="4" xr3:uid="{13D42256-A27A-41C2-91F4-390A8C6640CA}" uniqueName="4" name="ws_win_avg_home_attendance" queryTableFieldId="4"/>
    <tableColumn id="5" xr3:uid="{554EF836-3DFE-4D02-989A-7A9FA0EF7BAD}" uniqueName="5" name="next_year" queryTableFieldId="5"/>
    <tableColumn id="6" xr3:uid="{B99C183B-52EB-46E3-90FB-3CFEA9CB6A1F}" uniqueName="6" name="wswin-2" queryTableFieldId="6" dataDxfId="3"/>
    <tableColumn id="7" xr3:uid="{68D64FE4-D603-4D85-9DF5-994193657D7A}" uniqueName="7" name="next_year_avg_home_attendance" queryTableFieldId="7"/>
    <tableColumn id="8" xr3:uid="{D31B7898-9583-465C-9DD7-351E687AE8A0}" uniqueName="8" name="attendance_growth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93B69F-1EAA-4B4E-B180-C52B262FCE7D}" name="attendance_after_ws_win345" displayName="attendance_after_ws_win345" ref="A1:H107" tableType="queryTable" totalsRowShown="0">
  <autoFilter ref="A1:H107" xr:uid="{A0417AD6-C2ED-4022-A6DC-43190304E43E}">
    <filterColumn colId="0">
      <filters>
        <filter val="NY1"/>
      </filters>
    </filterColumn>
  </autoFilter>
  <tableColumns count="8">
    <tableColumn id="1" xr3:uid="{DFE29E2A-8789-418B-9A7C-F8D214E1748B}" uniqueName="1" name="team" queryTableFieldId="1" dataDxfId="2"/>
    <tableColumn id="2" xr3:uid="{915CDB32-3524-4C40-B462-1B6E69D19EBD}" uniqueName="2" name="win_year" queryTableFieldId="2"/>
    <tableColumn id="3" xr3:uid="{99D6BA98-879E-4F04-AD5F-18A77E47F728}" uniqueName="3" name="wswin" queryTableFieldId="3" dataDxfId="1"/>
    <tableColumn id="4" xr3:uid="{69099217-56B9-48C7-9D35-8444E2830849}" uniqueName="4" name="ws_win_avg_home_attendance" queryTableFieldId="4"/>
    <tableColumn id="5" xr3:uid="{0A8D70E2-92C4-47E0-B22C-C5E5A2E1E17C}" uniqueName="5" name="next_year" queryTableFieldId="5"/>
    <tableColumn id="6" xr3:uid="{EF0E4AAD-624C-4D99-9061-2629B19524B6}" uniqueName="6" name="wswin-2" queryTableFieldId="6" dataDxfId="0"/>
    <tableColumn id="7" xr3:uid="{C59531EE-05E5-4A7E-BE3F-2A531525060C}" uniqueName="7" name="next_year_avg_home_attendance" queryTableFieldId="7"/>
    <tableColumn id="8" xr3:uid="{F5C5934F-3DAE-4560-92C0-203293E9C6ED}" uniqueName="8" name="attendance_growt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0A8C-25B2-429C-95A0-601DDC17819A}">
  <dimension ref="A1:K107"/>
  <sheetViews>
    <sheetView tabSelected="1" workbookViewId="0">
      <selection activeCell="K1" sqref="K1:K5"/>
    </sheetView>
  </sheetViews>
  <sheetFormatPr defaultRowHeight="15" x14ac:dyDescent="0.25"/>
  <cols>
    <col min="1" max="1" width="7.85546875" bestFit="1" customWidth="1"/>
    <col min="2" max="2" width="11.140625" bestFit="1" customWidth="1"/>
    <col min="3" max="3" width="8.85546875" bestFit="1" customWidth="1"/>
    <col min="4" max="4" width="31.140625" bestFit="1" customWidth="1"/>
    <col min="5" max="5" width="12" bestFit="1" customWidth="1"/>
    <col min="6" max="6" width="10.5703125" bestFit="1" customWidth="1"/>
    <col min="7" max="7" width="33.5703125" bestFit="1" customWidth="1"/>
    <col min="8" max="8" width="20.7109375" bestFit="1" customWidth="1"/>
    <col min="10" max="10" width="2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46</v>
      </c>
      <c r="K1">
        <f>COUNTIF(H:H,"&lt;0")</f>
        <v>50</v>
      </c>
    </row>
    <row r="2" spans="1:11" x14ac:dyDescent="0.25">
      <c r="A2" t="s">
        <v>8</v>
      </c>
      <c r="B2">
        <v>1886</v>
      </c>
      <c r="C2" t="s">
        <v>9</v>
      </c>
      <c r="D2">
        <v>471.43</v>
      </c>
      <c r="E2">
        <v>1887</v>
      </c>
      <c r="F2" t="s">
        <v>10</v>
      </c>
      <c r="G2">
        <v>205.48</v>
      </c>
      <c r="H2">
        <v>-265.95</v>
      </c>
      <c r="J2" t="s">
        <v>47</v>
      </c>
      <c r="K2">
        <f>COUNTIF(H:H,"&gt;0")</f>
        <v>56</v>
      </c>
    </row>
    <row r="3" spans="1:11" x14ac:dyDescent="0.25">
      <c r="A3" t="s">
        <v>11</v>
      </c>
      <c r="B3">
        <v>1887</v>
      </c>
      <c r="C3" t="s">
        <v>9</v>
      </c>
      <c r="D3">
        <v>269.35000000000002</v>
      </c>
      <c r="E3">
        <v>1888</v>
      </c>
      <c r="F3" t="s">
        <v>10</v>
      </c>
      <c r="G3">
        <v>205.88</v>
      </c>
      <c r="H3">
        <v>-63.47</v>
      </c>
      <c r="J3" t="s">
        <v>48</v>
      </c>
      <c r="K3">
        <f>K2*100/(K1+K2)</f>
        <v>52.830188679245282</v>
      </c>
    </row>
    <row r="4" spans="1:11" x14ac:dyDescent="0.25">
      <c r="A4" t="s">
        <v>12</v>
      </c>
      <c r="B4">
        <v>1888</v>
      </c>
      <c r="C4" t="s">
        <v>9</v>
      </c>
      <c r="D4">
        <v>741.43</v>
      </c>
      <c r="E4">
        <v>1889</v>
      </c>
      <c r="F4" t="s">
        <v>9</v>
      </c>
      <c r="G4">
        <v>118.89</v>
      </c>
      <c r="H4">
        <v>-622.54</v>
      </c>
      <c r="J4" t="s">
        <v>44</v>
      </c>
      <c r="K4">
        <f>SUMIF(H:H, "&gt;0")</f>
        <v>146929.53</v>
      </c>
    </row>
    <row r="5" spans="1:11" x14ac:dyDescent="0.25">
      <c r="A5" t="s">
        <v>12</v>
      </c>
      <c r="B5">
        <v>1889</v>
      </c>
      <c r="C5" t="s">
        <v>9</v>
      </c>
      <c r="D5">
        <v>118.89</v>
      </c>
      <c r="E5">
        <v>1890</v>
      </c>
      <c r="F5" t="s">
        <v>10</v>
      </c>
      <c r="G5">
        <v>152.33000000000001</v>
      </c>
      <c r="H5">
        <v>33.44</v>
      </c>
      <c r="J5" t="s">
        <v>45</v>
      </c>
      <c r="K5">
        <f>SUMIF(H:H, "&lt;0")</f>
        <v>-122013.59</v>
      </c>
    </row>
    <row r="6" spans="1:11" x14ac:dyDescent="0.25">
      <c r="A6" t="s">
        <v>13</v>
      </c>
      <c r="B6">
        <v>1911</v>
      </c>
      <c r="C6" t="s">
        <v>9</v>
      </c>
      <c r="D6">
        <v>1613.33</v>
      </c>
      <c r="E6">
        <v>1912</v>
      </c>
      <c r="F6" t="s">
        <v>10</v>
      </c>
      <c r="G6">
        <v>7470.13</v>
      </c>
      <c r="H6">
        <v>5856.8</v>
      </c>
    </row>
    <row r="7" spans="1:11" x14ac:dyDescent="0.25">
      <c r="A7" t="s">
        <v>14</v>
      </c>
      <c r="B7">
        <v>1912</v>
      </c>
      <c r="C7" t="s">
        <v>9</v>
      </c>
      <c r="D7">
        <v>8526.2800000000007</v>
      </c>
      <c r="E7">
        <v>1913</v>
      </c>
      <c r="F7" t="s">
        <v>10</v>
      </c>
      <c r="G7">
        <v>6348</v>
      </c>
      <c r="H7">
        <v>-2178.2800000000002</v>
      </c>
    </row>
    <row r="8" spans="1:11" x14ac:dyDescent="0.25">
      <c r="A8" t="s">
        <v>13</v>
      </c>
      <c r="B8">
        <v>1913</v>
      </c>
      <c r="C8" t="s">
        <v>9</v>
      </c>
      <c r="D8">
        <v>7453.95</v>
      </c>
      <c r="E8">
        <v>1914</v>
      </c>
      <c r="F8" t="s">
        <v>10</v>
      </c>
      <c r="G8">
        <v>4773.08</v>
      </c>
      <c r="H8">
        <v>-2680.87</v>
      </c>
    </row>
    <row r="9" spans="1:11" x14ac:dyDescent="0.25">
      <c r="A9" t="s">
        <v>15</v>
      </c>
      <c r="B9">
        <v>1914</v>
      </c>
      <c r="C9" t="s">
        <v>9</v>
      </c>
      <c r="D9">
        <v>5980.53</v>
      </c>
      <c r="E9">
        <v>1915</v>
      </c>
      <c r="F9" t="s">
        <v>10</v>
      </c>
      <c r="G9">
        <v>4885.55</v>
      </c>
      <c r="H9">
        <v>-1094.98</v>
      </c>
    </row>
    <row r="10" spans="1:11" x14ac:dyDescent="0.25">
      <c r="A10" t="s">
        <v>16</v>
      </c>
      <c r="B10">
        <v>1917</v>
      </c>
      <c r="C10" t="s">
        <v>9</v>
      </c>
      <c r="D10">
        <v>9379.75</v>
      </c>
      <c r="E10">
        <v>1918</v>
      </c>
      <c r="F10" t="s">
        <v>10</v>
      </c>
      <c r="G10">
        <v>696.43</v>
      </c>
      <c r="H10">
        <v>-8683.32</v>
      </c>
    </row>
    <row r="11" spans="1:11" x14ac:dyDescent="0.25">
      <c r="A11" t="s">
        <v>14</v>
      </c>
      <c r="B11">
        <v>1918</v>
      </c>
      <c r="C11" t="s">
        <v>9</v>
      </c>
      <c r="D11">
        <v>371.43</v>
      </c>
      <c r="E11">
        <v>1919</v>
      </c>
      <c r="F11" t="s">
        <v>10</v>
      </c>
      <c r="G11">
        <v>1015.15</v>
      </c>
      <c r="H11">
        <v>643.72</v>
      </c>
    </row>
    <row r="12" spans="1:11" x14ac:dyDescent="0.25">
      <c r="A12" t="s">
        <v>17</v>
      </c>
      <c r="B12">
        <v>1919</v>
      </c>
      <c r="C12" t="s">
        <v>9</v>
      </c>
      <c r="D12">
        <v>4073.59</v>
      </c>
      <c r="E12">
        <v>1920</v>
      </c>
      <c r="F12" t="s">
        <v>10</v>
      </c>
      <c r="G12">
        <v>2396.1</v>
      </c>
      <c r="H12">
        <v>-1677.49</v>
      </c>
    </row>
    <row r="13" spans="1:11" x14ac:dyDescent="0.25">
      <c r="A13" t="s">
        <v>18</v>
      </c>
      <c r="B13">
        <v>1920</v>
      </c>
      <c r="C13" t="s">
        <v>9</v>
      </c>
      <c r="D13">
        <v>3743.59</v>
      </c>
      <c r="E13">
        <v>1921</v>
      </c>
      <c r="F13" t="s">
        <v>10</v>
      </c>
      <c r="G13">
        <v>3363.64</v>
      </c>
      <c r="H13">
        <v>-379.95</v>
      </c>
    </row>
    <row r="14" spans="1:11" x14ac:dyDescent="0.25">
      <c r="A14" t="s">
        <v>12</v>
      </c>
      <c r="B14">
        <v>1921</v>
      </c>
      <c r="C14" t="s">
        <v>9</v>
      </c>
      <c r="D14">
        <v>14424.05</v>
      </c>
      <c r="E14">
        <v>1922</v>
      </c>
      <c r="F14" t="s">
        <v>9</v>
      </c>
      <c r="G14">
        <v>12316.46</v>
      </c>
      <c r="H14">
        <v>-2107.59</v>
      </c>
    </row>
    <row r="15" spans="1:11" x14ac:dyDescent="0.25">
      <c r="A15" t="s">
        <v>12</v>
      </c>
      <c r="B15">
        <v>1922</v>
      </c>
      <c r="C15" t="s">
        <v>9</v>
      </c>
      <c r="D15">
        <v>12316.46</v>
      </c>
      <c r="E15">
        <v>1923</v>
      </c>
      <c r="F15" t="s">
        <v>10</v>
      </c>
      <c r="G15">
        <v>13090.91</v>
      </c>
      <c r="H15">
        <v>774.45</v>
      </c>
    </row>
    <row r="16" spans="1:11" x14ac:dyDescent="0.25">
      <c r="A16" t="s">
        <v>19</v>
      </c>
      <c r="B16">
        <v>1923</v>
      </c>
      <c r="C16" t="s">
        <v>9</v>
      </c>
      <c r="D16">
        <v>20765.79</v>
      </c>
      <c r="E16">
        <v>1924</v>
      </c>
      <c r="F16" t="s">
        <v>10</v>
      </c>
      <c r="G16">
        <v>19597.23</v>
      </c>
      <c r="H16">
        <v>-1168.56</v>
      </c>
    </row>
    <row r="17" spans="1:8" x14ac:dyDescent="0.25">
      <c r="A17" t="s">
        <v>20</v>
      </c>
      <c r="B17">
        <v>1924</v>
      </c>
      <c r="C17" t="s">
        <v>9</v>
      </c>
      <c r="D17">
        <v>4284.8100000000004</v>
      </c>
      <c r="E17">
        <v>1925</v>
      </c>
      <c r="F17" t="s">
        <v>10</v>
      </c>
      <c r="G17">
        <v>5631.58</v>
      </c>
      <c r="H17">
        <v>1346.77</v>
      </c>
    </row>
    <row r="18" spans="1:8" x14ac:dyDescent="0.25">
      <c r="A18" t="s">
        <v>21</v>
      </c>
      <c r="B18">
        <v>1925</v>
      </c>
      <c r="C18" t="s">
        <v>9</v>
      </c>
      <c r="D18">
        <v>9225.36</v>
      </c>
      <c r="E18">
        <v>1926</v>
      </c>
      <c r="F18" t="s">
        <v>10</v>
      </c>
      <c r="G18">
        <v>1734.18</v>
      </c>
      <c r="H18">
        <v>-7491.18</v>
      </c>
    </row>
    <row r="19" spans="1:8" x14ac:dyDescent="0.25">
      <c r="A19" t="s">
        <v>22</v>
      </c>
      <c r="B19">
        <v>1926</v>
      </c>
      <c r="C19" t="s">
        <v>9</v>
      </c>
      <c r="D19">
        <v>3535.18</v>
      </c>
      <c r="E19">
        <v>1927</v>
      </c>
      <c r="F19" t="s">
        <v>10</v>
      </c>
      <c r="G19">
        <v>7814.31</v>
      </c>
      <c r="H19">
        <v>4279.13</v>
      </c>
    </row>
    <row r="20" spans="1:8" x14ac:dyDescent="0.25">
      <c r="A20" t="s">
        <v>19</v>
      </c>
      <c r="B20">
        <v>1927</v>
      </c>
      <c r="C20" t="s">
        <v>9</v>
      </c>
      <c r="D20">
        <v>19326.509999999998</v>
      </c>
      <c r="E20">
        <v>1928</v>
      </c>
      <c r="F20" t="s">
        <v>9</v>
      </c>
      <c r="G20">
        <v>11470.97</v>
      </c>
      <c r="H20">
        <v>-7855.54</v>
      </c>
    </row>
    <row r="21" spans="1:8" x14ac:dyDescent="0.25">
      <c r="A21" t="s">
        <v>19</v>
      </c>
      <c r="B21">
        <v>1928</v>
      </c>
      <c r="C21" t="s">
        <v>9</v>
      </c>
      <c r="D21">
        <v>11470.97</v>
      </c>
      <c r="E21">
        <v>1929</v>
      </c>
      <c r="F21" t="s">
        <v>10</v>
      </c>
      <c r="G21">
        <v>11294.09</v>
      </c>
      <c r="H21">
        <v>-176.88</v>
      </c>
    </row>
    <row r="22" spans="1:8" x14ac:dyDescent="0.25">
      <c r="A22" t="s">
        <v>13</v>
      </c>
      <c r="B22">
        <v>1929</v>
      </c>
      <c r="C22" t="s">
        <v>9</v>
      </c>
      <c r="D22">
        <v>4027.03</v>
      </c>
      <c r="E22">
        <v>1930</v>
      </c>
      <c r="F22" t="s">
        <v>9</v>
      </c>
      <c r="G22">
        <v>3026.32</v>
      </c>
      <c r="H22">
        <v>-1000.71</v>
      </c>
    </row>
    <row r="23" spans="1:8" x14ac:dyDescent="0.25">
      <c r="A23" t="s">
        <v>13</v>
      </c>
      <c r="B23">
        <v>1930</v>
      </c>
      <c r="C23" t="s">
        <v>9</v>
      </c>
      <c r="D23">
        <v>3026.32</v>
      </c>
      <c r="E23">
        <v>1931</v>
      </c>
      <c r="F23" t="s">
        <v>10</v>
      </c>
      <c r="G23">
        <v>4853.33</v>
      </c>
      <c r="H23">
        <v>1827.01</v>
      </c>
    </row>
    <row r="24" spans="1:8" x14ac:dyDescent="0.25">
      <c r="A24" t="s">
        <v>22</v>
      </c>
      <c r="B24">
        <v>1931</v>
      </c>
      <c r="C24" t="s">
        <v>9</v>
      </c>
      <c r="D24">
        <v>5235.26</v>
      </c>
      <c r="E24">
        <v>1932</v>
      </c>
      <c r="F24" t="s">
        <v>10</v>
      </c>
      <c r="G24">
        <v>2942.56</v>
      </c>
      <c r="H24">
        <v>-2292.6999999999998</v>
      </c>
    </row>
    <row r="25" spans="1:8" x14ac:dyDescent="0.25">
      <c r="A25" t="s">
        <v>19</v>
      </c>
      <c r="B25">
        <v>1932</v>
      </c>
      <c r="C25" t="s">
        <v>9</v>
      </c>
      <c r="D25">
        <v>9894.23</v>
      </c>
      <c r="E25">
        <v>1933</v>
      </c>
      <c r="F25" t="s">
        <v>10</v>
      </c>
      <c r="G25">
        <v>13513.13</v>
      </c>
      <c r="H25">
        <v>3618.9</v>
      </c>
    </row>
    <row r="26" spans="1:8" x14ac:dyDescent="0.25">
      <c r="A26" t="s">
        <v>12</v>
      </c>
      <c r="B26">
        <v>1933</v>
      </c>
      <c r="C26" t="s">
        <v>9</v>
      </c>
      <c r="D26">
        <v>8746.75</v>
      </c>
      <c r="E26">
        <v>1934</v>
      </c>
      <c r="F26" t="s">
        <v>10</v>
      </c>
      <c r="G26">
        <v>5034.3100000000004</v>
      </c>
      <c r="H26">
        <v>-3712.44</v>
      </c>
    </row>
    <row r="27" spans="1:8" x14ac:dyDescent="0.25">
      <c r="A27" t="s">
        <v>22</v>
      </c>
      <c r="B27">
        <v>1934</v>
      </c>
      <c r="C27" t="s">
        <v>9</v>
      </c>
      <c r="D27">
        <v>2067.19</v>
      </c>
      <c r="E27">
        <v>1935</v>
      </c>
      <c r="F27" t="s">
        <v>10</v>
      </c>
      <c r="G27">
        <v>7470.62</v>
      </c>
      <c r="H27">
        <v>5403.43</v>
      </c>
    </row>
    <row r="28" spans="1:8" x14ac:dyDescent="0.25">
      <c r="A28" t="s">
        <v>23</v>
      </c>
      <c r="B28">
        <v>1935</v>
      </c>
      <c r="C28" t="s">
        <v>9</v>
      </c>
      <c r="D28">
        <v>8905.06</v>
      </c>
      <c r="E28">
        <v>1936</v>
      </c>
      <c r="F28" t="s">
        <v>10</v>
      </c>
      <c r="G28">
        <v>6385.71</v>
      </c>
      <c r="H28">
        <v>-2519.35</v>
      </c>
    </row>
    <row r="29" spans="1:8" x14ac:dyDescent="0.25">
      <c r="A29" t="s">
        <v>19</v>
      </c>
      <c r="B29">
        <v>1936</v>
      </c>
      <c r="C29" t="s">
        <v>9</v>
      </c>
      <c r="D29">
        <v>13861.84</v>
      </c>
      <c r="E29">
        <v>1937</v>
      </c>
      <c r="F29" t="s">
        <v>9</v>
      </c>
      <c r="G29">
        <v>13153.3</v>
      </c>
      <c r="H29">
        <v>-708.54</v>
      </c>
    </row>
    <row r="30" spans="1:8" x14ac:dyDescent="0.25">
      <c r="A30" t="s">
        <v>19</v>
      </c>
      <c r="B30">
        <v>1937</v>
      </c>
      <c r="C30" t="s">
        <v>9</v>
      </c>
      <c r="D30">
        <v>13153.3</v>
      </c>
      <c r="E30">
        <v>1938</v>
      </c>
      <c r="F30" t="s">
        <v>9</v>
      </c>
      <c r="G30">
        <v>12314.76</v>
      </c>
      <c r="H30">
        <v>-838.54</v>
      </c>
    </row>
    <row r="31" spans="1:8" x14ac:dyDescent="0.25">
      <c r="A31" t="s">
        <v>19</v>
      </c>
      <c r="B31">
        <v>1938</v>
      </c>
      <c r="C31" t="s">
        <v>9</v>
      </c>
      <c r="D31">
        <v>12314.76</v>
      </c>
      <c r="E31">
        <v>1939</v>
      </c>
      <c r="F31" t="s">
        <v>9</v>
      </c>
      <c r="G31">
        <v>12537.49</v>
      </c>
      <c r="H31">
        <v>222.73</v>
      </c>
    </row>
    <row r="32" spans="1:8" x14ac:dyDescent="0.25">
      <c r="A32" t="s">
        <v>19</v>
      </c>
      <c r="B32">
        <v>1939</v>
      </c>
      <c r="C32" t="s">
        <v>9</v>
      </c>
      <c r="D32">
        <v>12537.49</v>
      </c>
      <c r="E32">
        <v>1940</v>
      </c>
      <c r="F32" t="s">
        <v>10</v>
      </c>
      <c r="G32">
        <v>14587.16</v>
      </c>
      <c r="H32">
        <v>2049.67</v>
      </c>
    </row>
    <row r="33" spans="1:8" x14ac:dyDescent="0.25">
      <c r="A33" t="s">
        <v>17</v>
      </c>
      <c r="B33">
        <v>1940</v>
      </c>
      <c r="C33" t="s">
        <v>9</v>
      </c>
      <c r="D33">
        <v>11124.38</v>
      </c>
      <c r="E33">
        <v>1941</v>
      </c>
      <c r="F33" t="s">
        <v>10</v>
      </c>
      <c r="G33">
        <v>8268.81</v>
      </c>
      <c r="H33">
        <v>-2855.57</v>
      </c>
    </row>
    <row r="34" spans="1:8" x14ac:dyDescent="0.25">
      <c r="A34" t="s">
        <v>19</v>
      </c>
      <c r="B34">
        <v>1941</v>
      </c>
      <c r="C34" t="s">
        <v>9</v>
      </c>
      <c r="D34">
        <v>13508.69</v>
      </c>
      <c r="E34">
        <v>1942</v>
      </c>
      <c r="F34" t="s">
        <v>10</v>
      </c>
      <c r="G34">
        <v>12954.79</v>
      </c>
      <c r="H34">
        <v>-553.9</v>
      </c>
    </row>
    <row r="35" spans="1:8" x14ac:dyDescent="0.25">
      <c r="A35" t="s">
        <v>22</v>
      </c>
      <c r="B35">
        <v>1942</v>
      </c>
      <c r="C35" t="s">
        <v>9</v>
      </c>
      <c r="D35">
        <v>6832.54</v>
      </c>
      <c r="E35">
        <v>1943</v>
      </c>
      <c r="F35" t="s">
        <v>10</v>
      </c>
      <c r="G35">
        <v>6715.04</v>
      </c>
      <c r="H35">
        <v>-117.5</v>
      </c>
    </row>
    <row r="36" spans="1:8" x14ac:dyDescent="0.25">
      <c r="A36" t="s">
        <v>19</v>
      </c>
      <c r="B36">
        <v>1943</v>
      </c>
      <c r="C36" t="s">
        <v>9</v>
      </c>
      <c r="D36">
        <v>9039.44</v>
      </c>
      <c r="E36">
        <v>1944</v>
      </c>
      <c r="F36" t="s">
        <v>10</v>
      </c>
      <c r="G36">
        <v>13412.87</v>
      </c>
      <c r="H36">
        <v>4373.43</v>
      </c>
    </row>
    <row r="37" spans="1:8" x14ac:dyDescent="0.25">
      <c r="A37" t="s">
        <v>22</v>
      </c>
      <c r="B37">
        <v>1944</v>
      </c>
      <c r="C37" t="s">
        <v>9</v>
      </c>
      <c r="D37">
        <v>6772.88</v>
      </c>
      <c r="E37">
        <v>1945</v>
      </c>
      <c r="F37" t="s">
        <v>10</v>
      </c>
      <c r="G37">
        <v>7304.58</v>
      </c>
      <c r="H37">
        <v>531.70000000000005</v>
      </c>
    </row>
    <row r="38" spans="1:8" x14ac:dyDescent="0.25">
      <c r="A38" t="s">
        <v>23</v>
      </c>
      <c r="B38">
        <v>1945</v>
      </c>
      <c r="C38" t="s">
        <v>9</v>
      </c>
      <c r="D38">
        <v>16420.3</v>
      </c>
      <c r="E38">
        <v>1946</v>
      </c>
      <c r="F38" t="s">
        <v>10</v>
      </c>
      <c r="G38">
        <v>19397.560000000001</v>
      </c>
      <c r="H38">
        <v>2977.26</v>
      </c>
    </row>
    <row r="39" spans="1:8" x14ac:dyDescent="0.25">
      <c r="A39" t="s">
        <v>22</v>
      </c>
      <c r="B39">
        <v>1946</v>
      </c>
      <c r="C39" t="s">
        <v>9</v>
      </c>
      <c r="D39">
        <v>13590.86</v>
      </c>
      <c r="E39">
        <v>1947</v>
      </c>
      <c r="F39" t="s">
        <v>10</v>
      </c>
      <c r="G39">
        <v>16079.13</v>
      </c>
      <c r="H39">
        <v>2488.27</v>
      </c>
    </row>
    <row r="40" spans="1:8" x14ac:dyDescent="0.25">
      <c r="A40" t="s">
        <v>19</v>
      </c>
      <c r="B40">
        <v>1947</v>
      </c>
      <c r="C40" t="s">
        <v>9</v>
      </c>
      <c r="D40">
        <v>28896.23</v>
      </c>
      <c r="E40">
        <v>1948</v>
      </c>
      <c r="F40" t="s">
        <v>10</v>
      </c>
      <c r="G40">
        <v>31314.22</v>
      </c>
      <c r="H40">
        <v>2417.9899999999998</v>
      </c>
    </row>
    <row r="41" spans="1:8" x14ac:dyDescent="0.25">
      <c r="A41" t="s">
        <v>18</v>
      </c>
      <c r="B41">
        <v>1948</v>
      </c>
      <c r="C41" t="s">
        <v>9</v>
      </c>
      <c r="D41">
        <v>33670.76</v>
      </c>
      <c r="E41">
        <v>1949</v>
      </c>
      <c r="F41" t="s">
        <v>10</v>
      </c>
      <c r="G41">
        <v>30189.51</v>
      </c>
      <c r="H41">
        <v>-3481.25</v>
      </c>
    </row>
    <row r="42" spans="1:8" x14ac:dyDescent="0.25">
      <c r="A42" t="s">
        <v>19</v>
      </c>
      <c r="B42">
        <v>1949</v>
      </c>
      <c r="C42" t="s">
        <v>9</v>
      </c>
      <c r="D42">
        <v>29760.79</v>
      </c>
      <c r="E42">
        <v>1950</v>
      </c>
      <c r="F42" t="s">
        <v>9</v>
      </c>
      <c r="G42">
        <v>26063.66</v>
      </c>
      <c r="H42">
        <v>-3697.13</v>
      </c>
    </row>
    <row r="43" spans="1:8" x14ac:dyDescent="0.25">
      <c r="A43" t="s">
        <v>19</v>
      </c>
      <c r="B43">
        <v>1950</v>
      </c>
      <c r="C43" t="s">
        <v>9</v>
      </c>
      <c r="D43">
        <v>26063.66</v>
      </c>
      <c r="E43">
        <v>1951</v>
      </c>
      <c r="F43" t="s">
        <v>9</v>
      </c>
      <c r="G43">
        <v>24750.37</v>
      </c>
      <c r="H43">
        <v>-1313.29</v>
      </c>
    </row>
    <row r="44" spans="1:8" x14ac:dyDescent="0.25">
      <c r="A44" t="s">
        <v>19</v>
      </c>
      <c r="B44">
        <v>1951</v>
      </c>
      <c r="C44" t="s">
        <v>9</v>
      </c>
      <c r="D44">
        <v>24750.37</v>
      </c>
      <c r="E44">
        <v>1952</v>
      </c>
      <c r="F44" t="s">
        <v>9</v>
      </c>
      <c r="G44">
        <v>20694.79</v>
      </c>
      <c r="H44">
        <v>-4055.58</v>
      </c>
    </row>
    <row r="45" spans="1:8" x14ac:dyDescent="0.25">
      <c r="A45" t="s">
        <v>19</v>
      </c>
      <c r="B45">
        <v>1952</v>
      </c>
      <c r="C45" t="s">
        <v>9</v>
      </c>
      <c r="D45">
        <v>20694.79</v>
      </c>
      <c r="E45">
        <v>1953</v>
      </c>
      <c r="F45" t="s">
        <v>9</v>
      </c>
      <c r="G45">
        <v>19439.18</v>
      </c>
      <c r="H45">
        <v>-1255.6099999999999</v>
      </c>
    </row>
    <row r="46" spans="1:8" x14ac:dyDescent="0.25">
      <c r="A46" t="s">
        <v>19</v>
      </c>
      <c r="B46">
        <v>1953</v>
      </c>
      <c r="C46" t="s">
        <v>9</v>
      </c>
      <c r="D46">
        <v>19439.18</v>
      </c>
      <c r="E46">
        <v>1954</v>
      </c>
      <c r="F46" t="s">
        <v>10</v>
      </c>
      <c r="G46">
        <v>18910.91</v>
      </c>
      <c r="H46">
        <v>-528.27</v>
      </c>
    </row>
    <row r="47" spans="1:8" x14ac:dyDescent="0.25">
      <c r="A47" t="s">
        <v>12</v>
      </c>
      <c r="B47">
        <v>1954</v>
      </c>
      <c r="C47" t="s">
        <v>9</v>
      </c>
      <c r="D47">
        <v>15329.88</v>
      </c>
      <c r="E47">
        <v>1955</v>
      </c>
      <c r="F47" t="s">
        <v>10</v>
      </c>
      <c r="G47">
        <v>10445.59</v>
      </c>
      <c r="H47">
        <v>-4884.29</v>
      </c>
    </row>
    <row r="48" spans="1:8" x14ac:dyDescent="0.25">
      <c r="A48" t="s">
        <v>24</v>
      </c>
      <c r="B48">
        <v>1955</v>
      </c>
      <c r="C48" t="s">
        <v>9</v>
      </c>
      <c r="D48">
        <v>13266.09</v>
      </c>
      <c r="E48">
        <v>1956</v>
      </c>
      <c r="F48" t="s">
        <v>10</v>
      </c>
      <c r="G48">
        <v>16066.92</v>
      </c>
      <c r="H48">
        <v>2800.83</v>
      </c>
    </row>
    <row r="49" spans="1:8" x14ac:dyDescent="0.25">
      <c r="A49" t="s">
        <v>19</v>
      </c>
      <c r="B49">
        <v>1956</v>
      </c>
      <c r="C49" t="s">
        <v>9</v>
      </c>
      <c r="D49">
        <v>21212.74</v>
      </c>
      <c r="E49">
        <v>1957</v>
      </c>
      <c r="F49" t="s">
        <v>10</v>
      </c>
      <c r="G49">
        <v>19517.95</v>
      </c>
      <c r="H49">
        <v>-1694.79</v>
      </c>
    </row>
    <row r="50" spans="1:8" x14ac:dyDescent="0.25">
      <c r="A50" t="s">
        <v>25</v>
      </c>
      <c r="B50">
        <v>1957</v>
      </c>
      <c r="C50" t="s">
        <v>9</v>
      </c>
      <c r="D50">
        <v>28397.96</v>
      </c>
      <c r="E50">
        <v>1958</v>
      </c>
      <c r="F50" t="s">
        <v>10</v>
      </c>
      <c r="G50">
        <v>25361.08</v>
      </c>
      <c r="H50">
        <v>-3036.88</v>
      </c>
    </row>
    <row r="51" spans="1:8" x14ac:dyDescent="0.25">
      <c r="A51" t="s">
        <v>19</v>
      </c>
      <c r="B51">
        <v>1958</v>
      </c>
      <c r="C51" t="s">
        <v>9</v>
      </c>
      <c r="D51">
        <v>17901.04</v>
      </c>
      <c r="E51">
        <v>1959</v>
      </c>
      <c r="F51" t="s">
        <v>10</v>
      </c>
      <c r="G51">
        <v>21576.65</v>
      </c>
      <c r="H51">
        <v>3675.61</v>
      </c>
    </row>
    <row r="52" spans="1:8" x14ac:dyDescent="0.25">
      <c r="A52" t="s">
        <v>26</v>
      </c>
      <c r="B52">
        <v>1959</v>
      </c>
      <c r="C52" t="s">
        <v>9</v>
      </c>
      <c r="D52">
        <v>26711.85</v>
      </c>
      <c r="E52">
        <v>1960</v>
      </c>
      <c r="F52" t="s">
        <v>10</v>
      </c>
      <c r="G52">
        <v>29467.38</v>
      </c>
      <c r="H52">
        <v>2755.53</v>
      </c>
    </row>
    <row r="53" spans="1:8" x14ac:dyDescent="0.25">
      <c r="A53" t="s">
        <v>21</v>
      </c>
      <c r="B53">
        <v>1960</v>
      </c>
      <c r="C53" t="s">
        <v>9</v>
      </c>
      <c r="D53">
        <v>21885.759999999998</v>
      </c>
      <c r="E53">
        <v>1961</v>
      </c>
      <c r="F53" t="s">
        <v>10</v>
      </c>
      <c r="G53">
        <v>15574</v>
      </c>
      <c r="H53">
        <v>-6311.76</v>
      </c>
    </row>
    <row r="54" spans="1:8" x14ac:dyDescent="0.25">
      <c r="A54" t="s">
        <v>19</v>
      </c>
      <c r="B54">
        <v>1961</v>
      </c>
      <c r="C54" t="s">
        <v>9</v>
      </c>
      <c r="D54">
        <v>21576.86</v>
      </c>
      <c r="E54">
        <v>1962</v>
      </c>
      <c r="F54" t="s">
        <v>9</v>
      </c>
      <c r="G54">
        <v>20079.060000000001</v>
      </c>
      <c r="H54">
        <v>-1497.8</v>
      </c>
    </row>
    <row r="55" spans="1:8" x14ac:dyDescent="0.25">
      <c r="A55" t="s">
        <v>19</v>
      </c>
      <c r="B55">
        <v>1962</v>
      </c>
      <c r="C55" t="s">
        <v>9</v>
      </c>
      <c r="D55">
        <v>20079.060000000001</v>
      </c>
      <c r="E55">
        <v>1963</v>
      </c>
      <c r="F55" t="s">
        <v>10</v>
      </c>
      <c r="G55">
        <v>18256.71</v>
      </c>
      <c r="H55">
        <v>-1822.35</v>
      </c>
    </row>
    <row r="56" spans="1:8" x14ac:dyDescent="0.25">
      <c r="A56" t="s">
        <v>26</v>
      </c>
      <c r="B56">
        <v>1963</v>
      </c>
      <c r="C56" t="s">
        <v>9</v>
      </c>
      <c r="D56">
        <v>31341.47</v>
      </c>
      <c r="E56">
        <v>1964</v>
      </c>
      <c r="F56" t="s">
        <v>10</v>
      </c>
      <c r="G56">
        <v>27586.400000000001</v>
      </c>
      <c r="H56">
        <v>-3755.07</v>
      </c>
    </row>
    <row r="57" spans="1:8" x14ac:dyDescent="0.25">
      <c r="A57" t="s">
        <v>22</v>
      </c>
      <c r="B57">
        <v>1964</v>
      </c>
      <c r="C57" t="s">
        <v>9</v>
      </c>
      <c r="D57">
        <v>14107</v>
      </c>
      <c r="E57">
        <v>1965</v>
      </c>
      <c r="F57" t="s">
        <v>10</v>
      </c>
      <c r="G57">
        <v>15245.57</v>
      </c>
      <c r="H57">
        <v>1138.57</v>
      </c>
    </row>
    <row r="58" spans="1:8" x14ac:dyDescent="0.25">
      <c r="A58" t="s">
        <v>26</v>
      </c>
      <c r="B58">
        <v>1965</v>
      </c>
      <c r="C58" t="s">
        <v>9</v>
      </c>
      <c r="D58">
        <v>31612.94</v>
      </c>
      <c r="E58">
        <v>1966</v>
      </c>
      <c r="F58" t="s">
        <v>10</v>
      </c>
      <c r="G58">
        <v>32309.33</v>
      </c>
      <c r="H58">
        <v>696.39</v>
      </c>
    </row>
    <row r="59" spans="1:8" x14ac:dyDescent="0.25">
      <c r="A59" t="s">
        <v>27</v>
      </c>
      <c r="B59">
        <v>1966</v>
      </c>
      <c r="C59" t="s">
        <v>9</v>
      </c>
      <c r="D59">
        <v>15233.22</v>
      </c>
      <c r="E59">
        <v>1967</v>
      </c>
      <c r="F59" t="s">
        <v>10</v>
      </c>
      <c r="G59">
        <v>11102.62</v>
      </c>
      <c r="H59">
        <v>-4130.6000000000004</v>
      </c>
    </row>
    <row r="60" spans="1:8" x14ac:dyDescent="0.25">
      <c r="A60" t="s">
        <v>22</v>
      </c>
      <c r="B60">
        <v>1967</v>
      </c>
      <c r="C60" t="s">
        <v>9</v>
      </c>
      <c r="D60">
        <v>25798.09</v>
      </c>
      <c r="E60">
        <v>1968</v>
      </c>
      <c r="F60" t="s">
        <v>10</v>
      </c>
      <c r="G60">
        <v>24834.16</v>
      </c>
      <c r="H60">
        <v>-963.93</v>
      </c>
    </row>
    <row r="61" spans="1:8" x14ac:dyDescent="0.25">
      <c r="A61" t="s">
        <v>23</v>
      </c>
      <c r="B61">
        <v>1968</v>
      </c>
      <c r="C61" t="s">
        <v>9</v>
      </c>
      <c r="D61">
        <v>25089.59</v>
      </c>
      <c r="E61">
        <v>1969</v>
      </c>
      <c r="F61" t="s">
        <v>10</v>
      </c>
      <c r="G61">
        <v>19556.330000000002</v>
      </c>
      <c r="H61">
        <v>-5533.26</v>
      </c>
    </row>
    <row r="62" spans="1:8" x14ac:dyDescent="0.25">
      <c r="A62" t="s">
        <v>28</v>
      </c>
      <c r="B62">
        <v>1969</v>
      </c>
      <c r="C62" t="s">
        <v>9</v>
      </c>
      <c r="D62">
        <v>26732.82</v>
      </c>
      <c r="E62">
        <v>1970</v>
      </c>
      <c r="F62" t="s">
        <v>10</v>
      </c>
      <c r="G62">
        <v>32895.800000000003</v>
      </c>
      <c r="H62">
        <v>6162.98</v>
      </c>
    </row>
    <row r="63" spans="1:8" x14ac:dyDescent="0.25">
      <c r="A63" t="s">
        <v>27</v>
      </c>
      <c r="B63">
        <v>1970</v>
      </c>
      <c r="C63" t="s">
        <v>9</v>
      </c>
      <c r="D63">
        <v>12690.17</v>
      </c>
      <c r="E63">
        <v>1971</v>
      </c>
      <c r="F63" t="s">
        <v>10</v>
      </c>
      <c r="G63">
        <v>13416.04</v>
      </c>
      <c r="H63">
        <v>725.87</v>
      </c>
    </row>
    <row r="64" spans="1:8" x14ac:dyDescent="0.25">
      <c r="A64" t="s">
        <v>21</v>
      </c>
      <c r="B64">
        <v>1971</v>
      </c>
      <c r="C64" t="s">
        <v>9</v>
      </c>
      <c r="D64">
        <v>19254.599999999999</v>
      </c>
      <c r="E64">
        <v>1972</v>
      </c>
      <c r="F64" t="s">
        <v>10</v>
      </c>
      <c r="G64">
        <v>19499.599999999999</v>
      </c>
      <c r="H64">
        <v>245</v>
      </c>
    </row>
    <row r="65" spans="1:8" x14ac:dyDescent="0.25">
      <c r="A65" t="s">
        <v>29</v>
      </c>
      <c r="B65">
        <v>1972</v>
      </c>
      <c r="C65" t="s">
        <v>9</v>
      </c>
      <c r="D65">
        <v>12046.03</v>
      </c>
      <c r="E65">
        <v>1973</v>
      </c>
      <c r="F65" t="s">
        <v>9</v>
      </c>
      <c r="G65">
        <v>12346.23</v>
      </c>
      <c r="H65">
        <v>300.2</v>
      </c>
    </row>
    <row r="66" spans="1:8" x14ac:dyDescent="0.25">
      <c r="A66" t="s">
        <v>29</v>
      </c>
      <c r="B66">
        <v>1973</v>
      </c>
      <c r="C66" t="s">
        <v>9</v>
      </c>
      <c r="D66">
        <v>12346.23</v>
      </c>
      <c r="E66">
        <v>1974</v>
      </c>
      <c r="F66" t="s">
        <v>9</v>
      </c>
      <c r="G66">
        <v>10329.16</v>
      </c>
      <c r="H66">
        <v>-2017.07</v>
      </c>
    </row>
    <row r="67" spans="1:8" x14ac:dyDescent="0.25">
      <c r="A67" t="s">
        <v>29</v>
      </c>
      <c r="B67">
        <v>1974</v>
      </c>
      <c r="C67" t="s">
        <v>9</v>
      </c>
      <c r="D67">
        <v>10329.16</v>
      </c>
      <c r="E67">
        <v>1975</v>
      </c>
      <c r="F67" t="s">
        <v>10</v>
      </c>
      <c r="G67">
        <v>13303.67</v>
      </c>
      <c r="H67">
        <v>2974.51</v>
      </c>
    </row>
    <row r="68" spans="1:8" x14ac:dyDescent="0.25">
      <c r="A68" t="s">
        <v>17</v>
      </c>
      <c r="B68">
        <v>1975</v>
      </c>
      <c r="C68" t="s">
        <v>9</v>
      </c>
      <c r="D68">
        <v>28587.69</v>
      </c>
      <c r="E68">
        <v>1976</v>
      </c>
      <c r="F68" t="s">
        <v>9</v>
      </c>
      <c r="G68">
        <v>32465.53</v>
      </c>
      <c r="H68">
        <v>3877.84</v>
      </c>
    </row>
    <row r="69" spans="1:8" x14ac:dyDescent="0.25">
      <c r="A69" t="s">
        <v>17</v>
      </c>
      <c r="B69">
        <v>1976</v>
      </c>
      <c r="C69" t="s">
        <v>9</v>
      </c>
      <c r="D69">
        <v>32465.53</v>
      </c>
      <c r="E69">
        <v>1977</v>
      </c>
      <c r="F69" t="s">
        <v>10</v>
      </c>
      <c r="G69">
        <v>31185.57</v>
      </c>
      <c r="H69">
        <v>-1279.96</v>
      </c>
    </row>
    <row r="70" spans="1:8" x14ac:dyDescent="0.25">
      <c r="A70" t="s">
        <v>19</v>
      </c>
      <c r="B70">
        <v>1977</v>
      </c>
      <c r="C70" t="s">
        <v>9</v>
      </c>
      <c r="D70">
        <v>28592.880000000001</v>
      </c>
      <c r="E70">
        <v>1978</v>
      </c>
      <c r="F70" t="s">
        <v>9</v>
      </c>
      <c r="G70">
        <v>29930.85</v>
      </c>
      <c r="H70">
        <v>1337.97</v>
      </c>
    </row>
    <row r="71" spans="1:8" x14ac:dyDescent="0.25">
      <c r="A71" t="s">
        <v>19</v>
      </c>
      <c r="B71">
        <v>1978</v>
      </c>
      <c r="C71" t="s">
        <v>9</v>
      </c>
      <c r="D71">
        <v>29930.85</v>
      </c>
      <c r="E71">
        <v>1979</v>
      </c>
      <c r="F71" t="s">
        <v>10</v>
      </c>
      <c r="G71">
        <v>31405.53</v>
      </c>
      <c r="H71">
        <v>1474.68</v>
      </c>
    </row>
    <row r="72" spans="1:8" x14ac:dyDescent="0.25">
      <c r="A72" t="s">
        <v>21</v>
      </c>
      <c r="B72">
        <v>1979</v>
      </c>
      <c r="C72" t="s">
        <v>9</v>
      </c>
      <c r="D72">
        <v>17721.32</v>
      </c>
      <c r="E72">
        <v>1980</v>
      </c>
      <c r="F72" t="s">
        <v>10</v>
      </c>
      <c r="G72">
        <v>20268.599999999999</v>
      </c>
      <c r="H72">
        <v>2547.2800000000002</v>
      </c>
    </row>
    <row r="73" spans="1:8" x14ac:dyDescent="0.25">
      <c r="A73" t="s">
        <v>30</v>
      </c>
      <c r="B73">
        <v>1980</v>
      </c>
      <c r="C73" t="s">
        <v>9</v>
      </c>
      <c r="D73">
        <v>32826.629999999997</v>
      </c>
      <c r="E73">
        <v>1981</v>
      </c>
      <c r="F73" t="s">
        <v>10</v>
      </c>
      <c r="G73">
        <v>29798.44</v>
      </c>
      <c r="H73">
        <v>-3028.19</v>
      </c>
    </row>
    <row r="74" spans="1:8" x14ac:dyDescent="0.25">
      <c r="A74" t="s">
        <v>26</v>
      </c>
      <c r="B74">
        <v>1981</v>
      </c>
      <c r="C74" t="s">
        <v>9</v>
      </c>
      <c r="D74">
        <v>42546.05</v>
      </c>
      <c r="E74">
        <v>1982</v>
      </c>
      <c r="F74" t="s">
        <v>10</v>
      </c>
      <c r="G74">
        <v>44554.09</v>
      </c>
      <c r="H74">
        <v>2008.04</v>
      </c>
    </row>
    <row r="75" spans="1:8" x14ac:dyDescent="0.25">
      <c r="A75" t="s">
        <v>22</v>
      </c>
      <c r="B75">
        <v>1982</v>
      </c>
      <c r="C75" t="s">
        <v>9</v>
      </c>
      <c r="D75">
        <v>26073.11</v>
      </c>
      <c r="E75">
        <v>1983</v>
      </c>
      <c r="F75" t="s">
        <v>10</v>
      </c>
      <c r="G75">
        <v>28934.19</v>
      </c>
      <c r="H75">
        <v>2861.08</v>
      </c>
    </row>
    <row r="76" spans="1:8" x14ac:dyDescent="0.25">
      <c r="A76" t="s">
        <v>27</v>
      </c>
      <c r="B76">
        <v>1983</v>
      </c>
      <c r="C76" t="s">
        <v>9</v>
      </c>
      <c r="D76">
        <v>25140.7</v>
      </c>
      <c r="E76">
        <v>1984</v>
      </c>
      <c r="F76" t="s">
        <v>10</v>
      </c>
      <c r="G76">
        <v>25150.69</v>
      </c>
      <c r="H76">
        <v>9.99</v>
      </c>
    </row>
    <row r="77" spans="1:8" x14ac:dyDescent="0.25">
      <c r="A77" t="s">
        <v>23</v>
      </c>
      <c r="B77">
        <v>1984</v>
      </c>
      <c r="C77" t="s">
        <v>9</v>
      </c>
      <c r="D77">
        <v>32985.29</v>
      </c>
      <c r="E77">
        <v>1985</v>
      </c>
      <c r="F77" t="s">
        <v>10</v>
      </c>
      <c r="G77">
        <v>28229.75</v>
      </c>
      <c r="H77">
        <v>-4755.54</v>
      </c>
    </row>
    <row r="78" spans="1:8" x14ac:dyDescent="0.25">
      <c r="A78" t="s">
        <v>31</v>
      </c>
      <c r="B78">
        <v>1985</v>
      </c>
      <c r="C78" t="s">
        <v>9</v>
      </c>
      <c r="D78">
        <v>26374.57</v>
      </c>
      <c r="E78">
        <v>1986</v>
      </c>
      <c r="F78" t="s">
        <v>10</v>
      </c>
      <c r="G78">
        <v>28651.41</v>
      </c>
      <c r="H78">
        <v>2276.84</v>
      </c>
    </row>
    <row r="79" spans="1:8" x14ac:dyDescent="0.25">
      <c r="A79" t="s">
        <v>28</v>
      </c>
      <c r="B79">
        <v>1986</v>
      </c>
      <c r="C79" t="s">
        <v>9</v>
      </c>
      <c r="D79">
        <v>34103.910000000003</v>
      </c>
      <c r="E79">
        <v>1987</v>
      </c>
      <c r="F79" t="s">
        <v>10</v>
      </c>
      <c r="G79">
        <v>37371.86</v>
      </c>
      <c r="H79">
        <v>3267.95</v>
      </c>
    </row>
    <row r="80" spans="1:8" x14ac:dyDescent="0.25">
      <c r="A80" t="s">
        <v>32</v>
      </c>
      <c r="B80">
        <v>1987</v>
      </c>
      <c r="C80" t="s">
        <v>9</v>
      </c>
      <c r="D80">
        <v>25706.21</v>
      </c>
      <c r="E80">
        <v>1988</v>
      </c>
      <c r="F80" t="s">
        <v>10</v>
      </c>
      <c r="G80">
        <v>37407.4</v>
      </c>
      <c r="H80">
        <v>11701.19</v>
      </c>
    </row>
    <row r="81" spans="1:8" x14ac:dyDescent="0.25">
      <c r="A81" t="s">
        <v>26</v>
      </c>
      <c r="B81">
        <v>1988</v>
      </c>
      <c r="C81" t="s">
        <v>9</v>
      </c>
      <c r="D81">
        <v>36793.360000000001</v>
      </c>
      <c r="E81">
        <v>1989</v>
      </c>
      <c r="F81" t="s">
        <v>10</v>
      </c>
      <c r="G81">
        <v>36343.620000000003</v>
      </c>
      <c r="H81">
        <v>-449.74</v>
      </c>
    </row>
    <row r="82" spans="1:8" x14ac:dyDescent="0.25">
      <c r="A82" t="s">
        <v>29</v>
      </c>
      <c r="B82">
        <v>1989</v>
      </c>
      <c r="C82" t="s">
        <v>9</v>
      </c>
      <c r="D82">
        <v>32983.22</v>
      </c>
      <c r="E82">
        <v>1990</v>
      </c>
      <c r="F82" t="s">
        <v>10</v>
      </c>
      <c r="G82">
        <v>35842.01</v>
      </c>
      <c r="H82">
        <v>2858.79</v>
      </c>
    </row>
    <row r="83" spans="1:8" x14ac:dyDescent="0.25">
      <c r="A83" t="s">
        <v>17</v>
      </c>
      <c r="B83">
        <v>1990</v>
      </c>
      <c r="C83" t="s">
        <v>9</v>
      </c>
      <c r="D83">
        <v>29723</v>
      </c>
      <c r="E83">
        <v>1991</v>
      </c>
      <c r="F83" t="s">
        <v>10</v>
      </c>
      <c r="G83">
        <v>29288.6</v>
      </c>
      <c r="H83">
        <v>-434.4</v>
      </c>
    </row>
    <row r="84" spans="1:8" x14ac:dyDescent="0.25">
      <c r="A84" t="s">
        <v>32</v>
      </c>
      <c r="B84">
        <v>1991</v>
      </c>
      <c r="C84" t="s">
        <v>9</v>
      </c>
      <c r="D84">
        <v>28319.040000000001</v>
      </c>
      <c r="E84">
        <v>1992</v>
      </c>
      <c r="F84" t="s">
        <v>10</v>
      </c>
      <c r="G84">
        <v>30644.3</v>
      </c>
      <c r="H84">
        <v>2325.2600000000002</v>
      </c>
    </row>
    <row r="85" spans="1:8" x14ac:dyDescent="0.25">
      <c r="A85" t="s">
        <v>33</v>
      </c>
      <c r="B85">
        <v>1992</v>
      </c>
      <c r="C85" t="s">
        <v>9</v>
      </c>
      <c r="D85">
        <v>49732.32</v>
      </c>
      <c r="E85">
        <v>1993</v>
      </c>
      <c r="F85" t="s">
        <v>9</v>
      </c>
      <c r="G85">
        <v>50095.64</v>
      </c>
      <c r="H85">
        <v>363.32</v>
      </c>
    </row>
    <row r="86" spans="1:8" x14ac:dyDescent="0.25">
      <c r="A86" t="s">
        <v>33</v>
      </c>
      <c r="B86">
        <v>1993</v>
      </c>
      <c r="C86" t="s">
        <v>9</v>
      </c>
      <c r="D86">
        <v>50095.64</v>
      </c>
      <c r="E86">
        <v>1994</v>
      </c>
      <c r="F86" t="s">
        <v>34</v>
      </c>
      <c r="G86">
        <v>49287.27</v>
      </c>
      <c r="H86">
        <v>-808.37</v>
      </c>
    </row>
    <row r="87" spans="1:8" x14ac:dyDescent="0.25">
      <c r="A87" t="s">
        <v>35</v>
      </c>
      <c r="B87">
        <v>1995</v>
      </c>
      <c r="C87" t="s">
        <v>9</v>
      </c>
      <c r="D87">
        <v>35617.94</v>
      </c>
      <c r="E87">
        <v>1996</v>
      </c>
      <c r="F87" t="s">
        <v>10</v>
      </c>
      <c r="G87">
        <v>35787.730000000003</v>
      </c>
      <c r="H87">
        <v>169.79</v>
      </c>
    </row>
    <row r="88" spans="1:8" x14ac:dyDescent="0.25">
      <c r="A88" t="s">
        <v>19</v>
      </c>
      <c r="B88">
        <v>1996</v>
      </c>
      <c r="C88" t="s">
        <v>9</v>
      </c>
      <c r="D88">
        <v>28188.14</v>
      </c>
      <c r="E88">
        <v>1997</v>
      </c>
      <c r="F88" t="s">
        <v>10</v>
      </c>
      <c r="G88">
        <v>32263.040000000001</v>
      </c>
      <c r="H88">
        <v>4074.9</v>
      </c>
    </row>
    <row r="89" spans="1:8" x14ac:dyDescent="0.25">
      <c r="A89" t="s">
        <v>36</v>
      </c>
      <c r="B89">
        <v>1997</v>
      </c>
      <c r="C89" t="s">
        <v>9</v>
      </c>
      <c r="D89">
        <v>29044.04</v>
      </c>
      <c r="E89">
        <v>1998</v>
      </c>
      <c r="F89" t="s">
        <v>10</v>
      </c>
      <c r="G89">
        <v>21609.81</v>
      </c>
      <c r="H89">
        <v>-7434.23</v>
      </c>
    </row>
    <row r="90" spans="1:8" x14ac:dyDescent="0.25">
      <c r="A90" t="s">
        <v>19</v>
      </c>
      <c r="B90">
        <v>1998</v>
      </c>
      <c r="C90" t="s">
        <v>9</v>
      </c>
      <c r="D90">
        <v>36416.47</v>
      </c>
      <c r="E90">
        <v>1999</v>
      </c>
      <c r="F90" t="s">
        <v>9</v>
      </c>
      <c r="G90">
        <v>40657.519999999997</v>
      </c>
      <c r="H90">
        <v>4241.05</v>
      </c>
    </row>
    <row r="91" spans="1:8" x14ac:dyDescent="0.25">
      <c r="A91" t="s">
        <v>19</v>
      </c>
      <c r="B91">
        <v>1999</v>
      </c>
      <c r="C91" t="s">
        <v>9</v>
      </c>
      <c r="D91">
        <v>40657.519999999997</v>
      </c>
      <c r="E91">
        <v>2000</v>
      </c>
      <c r="F91" t="s">
        <v>9</v>
      </c>
      <c r="G91">
        <v>40345.71</v>
      </c>
      <c r="H91">
        <v>-311.81</v>
      </c>
    </row>
    <row r="92" spans="1:8" x14ac:dyDescent="0.25">
      <c r="A92" t="s">
        <v>19</v>
      </c>
      <c r="B92">
        <v>2000</v>
      </c>
      <c r="C92" t="s">
        <v>9</v>
      </c>
      <c r="D92">
        <v>40345.71</v>
      </c>
      <c r="E92">
        <v>2001</v>
      </c>
      <c r="F92" t="s">
        <v>10</v>
      </c>
      <c r="G92">
        <v>40810.589999999997</v>
      </c>
      <c r="H92">
        <v>464.88</v>
      </c>
    </row>
    <row r="93" spans="1:8" x14ac:dyDescent="0.25">
      <c r="A93" t="s">
        <v>37</v>
      </c>
      <c r="B93">
        <v>2001</v>
      </c>
      <c r="C93" t="s">
        <v>9</v>
      </c>
      <c r="D93">
        <v>33775.57</v>
      </c>
      <c r="E93">
        <v>2002</v>
      </c>
      <c r="F93" t="s">
        <v>10</v>
      </c>
      <c r="G93">
        <v>39493.519999999997</v>
      </c>
      <c r="H93">
        <v>5717.95</v>
      </c>
    </row>
    <row r="94" spans="1:8" x14ac:dyDescent="0.25">
      <c r="A94" t="s">
        <v>38</v>
      </c>
      <c r="B94">
        <v>2002</v>
      </c>
      <c r="C94" t="s">
        <v>9</v>
      </c>
      <c r="D94">
        <v>28462.560000000001</v>
      </c>
      <c r="E94">
        <v>2003</v>
      </c>
      <c r="F94" t="s">
        <v>10</v>
      </c>
      <c r="G94">
        <v>37330.410000000003</v>
      </c>
      <c r="H94">
        <v>8867.85</v>
      </c>
    </row>
    <row r="95" spans="1:8" x14ac:dyDescent="0.25">
      <c r="A95" t="s">
        <v>36</v>
      </c>
      <c r="B95">
        <v>2003</v>
      </c>
      <c r="C95" t="s">
        <v>9</v>
      </c>
      <c r="D95">
        <v>16089.06</v>
      </c>
      <c r="E95">
        <v>2004</v>
      </c>
      <c r="F95" t="s">
        <v>10</v>
      </c>
      <c r="G95">
        <v>21538.81</v>
      </c>
      <c r="H95">
        <v>5449.75</v>
      </c>
    </row>
    <row r="96" spans="1:8" x14ac:dyDescent="0.25">
      <c r="A96" t="s">
        <v>14</v>
      </c>
      <c r="B96">
        <v>2004</v>
      </c>
      <c r="C96" t="s">
        <v>9</v>
      </c>
      <c r="D96">
        <v>35028.44</v>
      </c>
      <c r="E96">
        <v>2005</v>
      </c>
      <c r="F96" t="s">
        <v>10</v>
      </c>
      <c r="G96">
        <v>35158</v>
      </c>
      <c r="H96">
        <v>129.56</v>
      </c>
    </row>
    <row r="97" spans="1:8" x14ac:dyDescent="0.25">
      <c r="A97" t="s">
        <v>16</v>
      </c>
      <c r="B97">
        <v>2005</v>
      </c>
      <c r="C97" t="s">
        <v>9</v>
      </c>
      <c r="D97">
        <v>28923.88</v>
      </c>
      <c r="E97">
        <v>2006</v>
      </c>
      <c r="F97" t="s">
        <v>10</v>
      </c>
      <c r="G97">
        <v>36511.279999999999</v>
      </c>
      <c r="H97">
        <v>7587.4</v>
      </c>
    </row>
    <row r="98" spans="1:8" x14ac:dyDescent="0.25">
      <c r="A98" t="s">
        <v>22</v>
      </c>
      <c r="B98">
        <v>2006</v>
      </c>
      <c r="C98" t="s">
        <v>9</v>
      </c>
      <c r="D98">
        <v>42588.800000000003</v>
      </c>
      <c r="E98">
        <v>2007</v>
      </c>
      <c r="F98" t="s">
        <v>10</v>
      </c>
      <c r="G98">
        <v>43854.07</v>
      </c>
      <c r="H98">
        <v>1265.27</v>
      </c>
    </row>
    <row r="99" spans="1:8" x14ac:dyDescent="0.25">
      <c r="A99" t="s">
        <v>14</v>
      </c>
      <c r="B99">
        <v>2007</v>
      </c>
      <c r="C99" t="s">
        <v>9</v>
      </c>
      <c r="D99">
        <v>36675.99</v>
      </c>
      <c r="E99">
        <v>2008</v>
      </c>
      <c r="F99" t="s">
        <v>10</v>
      </c>
      <c r="G99">
        <v>37632.720000000001</v>
      </c>
      <c r="H99">
        <v>956.73</v>
      </c>
    </row>
    <row r="100" spans="1:8" x14ac:dyDescent="0.25">
      <c r="A100" t="s">
        <v>30</v>
      </c>
      <c r="B100">
        <v>2008</v>
      </c>
      <c r="C100" t="s">
        <v>9</v>
      </c>
      <c r="D100">
        <v>42254.11</v>
      </c>
      <c r="E100">
        <v>2009</v>
      </c>
      <c r="F100" t="s">
        <v>10</v>
      </c>
      <c r="G100">
        <v>44453</v>
      </c>
      <c r="H100">
        <v>2198.89</v>
      </c>
    </row>
    <row r="101" spans="1:8" x14ac:dyDescent="0.25">
      <c r="A101" t="s">
        <v>19</v>
      </c>
      <c r="B101">
        <v>2009</v>
      </c>
      <c r="C101" t="s">
        <v>9</v>
      </c>
      <c r="D101">
        <v>45918</v>
      </c>
      <c r="E101">
        <v>2010</v>
      </c>
      <c r="F101" t="s">
        <v>10</v>
      </c>
      <c r="G101">
        <v>46491.44</v>
      </c>
      <c r="H101">
        <v>573.44000000000005</v>
      </c>
    </row>
    <row r="102" spans="1:8" x14ac:dyDescent="0.25">
      <c r="A102" t="s">
        <v>39</v>
      </c>
      <c r="B102">
        <v>2010</v>
      </c>
      <c r="C102" t="s">
        <v>9</v>
      </c>
      <c r="D102">
        <v>37497.120000000003</v>
      </c>
      <c r="E102">
        <v>2011</v>
      </c>
      <c r="F102" t="s">
        <v>10</v>
      </c>
      <c r="G102">
        <v>41818.559999999998</v>
      </c>
      <c r="H102">
        <v>4321.4399999999996</v>
      </c>
    </row>
    <row r="103" spans="1:8" x14ac:dyDescent="0.25">
      <c r="A103" t="s">
        <v>22</v>
      </c>
      <c r="B103">
        <v>2011</v>
      </c>
      <c r="C103" t="s">
        <v>9</v>
      </c>
      <c r="D103">
        <v>38196.959999999999</v>
      </c>
      <c r="E103">
        <v>2012</v>
      </c>
      <c r="F103" t="s">
        <v>10</v>
      </c>
      <c r="G103">
        <v>40272.949999999997</v>
      </c>
      <c r="H103">
        <v>2075.9899999999998</v>
      </c>
    </row>
    <row r="104" spans="1:8" x14ac:dyDescent="0.25">
      <c r="A104" t="s">
        <v>39</v>
      </c>
      <c r="B104">
        <v>2012</v>
      </c>
      <c r="C104" t="s">
        <v>9</v>
      </c>
      <c r="D104">
        <v>41695.94</v>
      </c>
      <c r="E104">
        <v>2013</v>
      </c>
      <c r="F104" t="s">
        <v>10</v>
      </c>
      <c r="G104">
        <v>41071.56</v>
      </c>
      <c r="H104">
        <v>-624.38</v>
      </c>
    </row>
    <row r="105" spans="1:8" x14ac:dyDescent="0.25">
      <c r="A105" t="s">
        <v>14</v>
      </c>
      <c r="B105">
        <v>2013</v>
      </c>
      <c r="C105" t="s">
        <v>9</v>
      </c>
      <c r="D105">
        <v>34979.42</v>
      </c>
      <c r="E105">
        <v>2014</v>
      </c>
      <c r="F105" t="s">
        <v>10</v>
      </c>
      <c r="G105">
        <v>36494.93</v>
      </c>
      <c r="H105">
        <v>1515.51</v>
      </c>
    </row>
    <row r="106" spans="1:8" x14ac:dyDescent="0.25">
      <c r="A106" t="s">
        <v>39</v>
      </c>
      <c r="B106">
        <v>2014</v>
      </c>
      <c r="C106" t="s">
        <v>9</v>
      </c>
      <c r="D106">
        <v>41588.85</v>
      </c>
      <c r="E106">
        <v>2015</v>
      </c>
      <c r="F106" t="s">
        <v>10</v>
      </c>
      <c r="G106">
        <v>41677.56</v>
      </c>
      <c r="H106">
        <v>88.71</v>
      </c>
    </row>
    <row r="107" spans="1:8" x14ac:dyDescent="0.25">
      <c r="A107" t="s">
        <v>31</v>
      </c>
      <c r="B107">
        <v>2015</v>
      </c>
      <c r="C107" t="s">
        <v>9</v>
      </c>
      <c r="D107">
        <v>33438.879999999997</v>
      </c>
      <c r="E107">
        <v>2016</v>
      </c>
      <c r="F107" t="s">
        <v>10</v>
      </c>
      <c r="G107">
        <v>31576.69</v>
      </c>
      <c r="H107">
        <v>-1862.19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FC54-2DE2-4FB6-A8D4-AADCEF0E11A4}">
  <dimension ref="A1:K107"/>
  <sheetViews>
    <sheetView workbookViewId="0">
      <selection activeCell="I29" sqref="I29"/>
    </sheetView>
  </sheetViews>
  <sheetFormatPr defaultRowHeight="15" x14ac:dyDescent="0.25"/>
  <cols>
    <col min="1" max="1" width="7.85546875" bestFit="1" customWidth="1"/>
    <col min="2" max="2" width="11.140625" bestFit="1" customWidth="1"/>
    <col min="3" max="3" width="8.85546875" bestFit="1" customWidth="1"/>
    <col min="4" max="4" width="31.140625" bestFit="1" customWidth="1"/>
    <col min="5" max="5" width="12" bestFit="1" customWidth="1"/>
    <col min="6" max="6" width="10.5703125" bestFit="1" customWidth="1"/>
    <col min="7" max="7" width="33.5703125" bestFit="1" customWidth="1"/>
    <col min="8" max="8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hidden="1" x14ac:dyDescent="0.25">
      <c r="A2" t="s">
        <v>8</v>
      </c>
      <c r="B2">
        <v>1886</v>
      </c>
      <c r="C2" t="s">
        <v>9</v>
      </c>
      <c r="D2">
        <v>471.43</v>
      </c>
      <c r="E2">
        <v>1887</v>
      </c>
      <c r="F2" t="s">
        <v>10</v>
      </c>
      <c r="G2">
        <v>205.48</v>
      </c>
      <c r="H2">
        <v>-265.95</v>
      </c>
      <c r="J2" t="s">
        <v>47</v>
      </c>
      <c r="K2">
        <f>COUNTIF(H:H,"&gt;0")</f>
        <v>56</v>
      </c>
    </row>
    <row r="3" spans="1:11" hidden="1" x14ac:dyDescent="0.25">
      <c r="A3" t="s">
        <v>11</v>
      </c>
      <c r="B3">
        <v>1887</v>
      </c>
      <c r="C3" t="s">
        <v>9</v>
      </c>
      <c r="D3">
        <v>269.35000000000002</v>
      </c>
      <c r="E3">
        <v>1888</v>
      </c>
      <c r="F3" t="s">
        <v>10</v>
      </c>
      <c r="G3">
        <v>205.88</v>
      </c>
      <c r="H3">
        <v>-63.47</v>
      </c>
    </row>
    <row r="4" spans="1:11" hidden="1" x14ac:dyDescent="0.25">
      <c r="A4" t="s">
        <v>12</v>
      </c>
      <c r="B4">
        <v>1888</v>
      </c>
      <c r="C4" t="s">
        <v>9</v>
      </c>
      <c r="D4">
        <v>741.43</v>
      </c>
      <c r="E4">
        <v>1889</v>
      </c>
      <c r="F4" t="s">
        <v>9</v>
      </c>
      <c r="G4">
        <v>118.89</v>
      </c>
      <c r="H4">
        <v>-622.54</v>
      </c>
      <c r="J4" t="s">
        <v>44</v>
      </c>
      <c r="K4">
        <f>SUMIF(H:H, "&gt;0")</f>
        <v>146929.53</v>
      </c>
    </row>
    <row r="5" spans="1:11" hidden="1" x14ac:dyDescent="0.25">
      <c r="A5" t="s">
        <v>12</v>
      </c>
      <c r="B5">
        <v>1889</v>
      </c>
      <c r="C5" t="s">
        <v>9</v>
      </c>
      <c r="D5">
        <v>118.89</v>
      </c>
      <c r="E5">
        <v>1890</v>
      </c>
      <c r="F5" t="s">
        <v>10</v>
      </c>
      <c r="G5">
        <v>152.33000000000001</v>
      </c>
      <c r="H5">
        <v>33.44</v>
      </c>
      <c r="J5" t="s">
        <v>45</v>
      </c>
      <c r="K5">
        <f>SUMIF(H:H, "&lt;0")</f>
        <v>-122013.59</v>
      </c>
    </row>
    <row r="6" spans="1:11" hidden="1" x14ac:dyDescent="0.25">
      <c r="A6" t="s">
        <v>13</v>
      </c>
      <c r="B6">
        <v>1911</v>
      </c>
      <c r="C6" t="s">
        <v>9</v>
      </c>
      <c r="D6">
        <v>1613.33</v>
      </c>
      <c r="E6">
        <v>1912</v>
      </c>
      <c r="F6" t="s">
        <v>10</v>
      </c>
      <c r="G6">
        <v>7470.13</v>
      </c>
      <c r="H6">
        <v>5856.8</v>
      </c>
    </row>
    <row r="7" spans="1:11" hidden="1" x14ac:dyDescent="0.25">
      <c r="A7" t="s">
        <v>14</v>
      </c>
      <c r="B7">
        <v>1912</v>
      </c>
      <c r="C7" t="s">
        <v>9</v>
      </c>
      <c r="D7">
        <v>8526.2800000000007</v>
      </c>
      <c r="E7">
        <v>1913</v>
      </c>
      <c r="F7" t="s">
        <v>10</v>
      </c>
      <c r="G7">
        <v>6348</v>
      </c>
      <c r="H7">
        <v>-2178.2800000000002</v>
      </c>
    </row>
    <row r="8" spans="1:11" hidden="1" x14ac:dyDescent="0.25">
      <c r="A8" t="s">
        <v>13</v>
      </c>
      <c r="B8">
        <v>1913</v>
      </c>
      <c r="C8" t="s">
        <v>9</v>
      </c>
      <c r="D8">
        <v>7453.95</v>
      </c>
      <c r="E8">
        <v>1914</v>
      </c>
      <c r="F8" t="s">
        <v>10</v>
      </c>
      <c r="G8">
        <v>4773.08</v>
      </c>
      <c r="H8">
        <v>-2680.87</v>
      </c>
    </row>
    <row r="9" spans="1:11" hidden="1" x14ac:dyDescent="0.25">
      <c r="A9" t="s">
        <v>15</v>
      </c>
      <c r="B9">
        <v>1914</v>
      </c>
      <c r="C9" t="s">
        <v>9</v>
      </c>
      <c r="D9">
        <v>5980.53</v>
      </c>
      <c r="E9">
        <v>1915</v>
      </c>
      <c r="F9" t="s">
        <v>10</v>
      </c>
      <c r="G9">
        <v>4885.55</v>
      </c>
      <c r="H9">
        <v>-1094.98</v>
      </c>
    </row>
    <row r="10" spans="1:11" hidden="1" x14ac:dyDescent="0.25">
      <c r="A10" t="s">
        <v>16</v>
      </c>
      <c r="B10">
        <v>1917</v>
      </c>
      <c r="C10" t="s">
        <v>9</v>
      </c>
      <c r="D10">
        <v>9379.75</v>
      </c>
      <c r="E10">
        <v>1918</v>
      </c>
      <c r="F10" t="s">
        <v>10</v>
      </c>
      <c r="G10">
        <v>696.43</v>
      </c>
      <c r="H10">
        <v>-8683.32</v>
      </c>
    </row>
    <row r="11" spans="1:11" hidden="1" x14ac:dyDescent="0.25">
      <c r="A11" t="s">
        <v>14</v>
      </c>
      <c r="B11">
        <v>1918</v>
      </c>
      <c r="C11" t="s">
        <v>9</v>
      </c>
      <c r="D11">
        <v>371.43</v>
      </c>
      <c r="E11">
        <v>1919</v>
      </c>
      <c r="F11" t="s">
        <v>10</v>
      </c>
      <c r="G11">
        <v>1015.15</v>
      </c>
      <c r="H11">
        <v>643.72</v>
      </c>
    </row>
    <row r="12" spans="1:11" hidden="1" x14ac:dyDescent="0.25">
      <c r="A12" t="s">
        <v>17</v>
      </c>
      <c r="B12">
        <v>1919</v>
      </c>
      <c r="C12" t="s">
        <v>9</v>
      </c>
      <c r="D12">
        <v>4073.59</v>
      </c>
      <c r="E12">
        <v>1920</v>
      </c>
      <c r="F12" t="s">
        <v>10</v>
      </c>
      <c r="G12">
        <v>2396.1</v>
      </c>
      <c r="H12">
        <v>-1677.49</v>
      </c>
    </row>
    <row r="13" spans="1:11" hidden="1" x14ac:dyDescent="0.25">
      <c r="A13" t="s">
        <v>18</v>
      </c>
      <c r="B13">
        <v>1920</v>
      </c>
      <c r="C13" t="s">
        <v>9</v>
      </c>
      <c r="D13">
        <v>3743.59</v>
      </c>
      <c r="E13">
        <v>1921</v>
      </c>
      <c r="F13" t="s">
        <v>10</v>
      </c>
      <c r="G13">
        <v>3363.64</v>
      </c>
      <c r="H13">
        <v>-379.95</v>
      </c>
    </row>
    <row r="14" spans="1:11" hidden="1" x14ac:dyDescent="0.25">
      <c r="A14" t="s">
        <v>12</v>
      </c>
      <c r="B14">
        <v>1921</v>
      </c>
      <c r="C14" t="s">
        <v>9</v>
      </c>
      <c r="D14">
        <v>14424.05</v>
      </c>
      <c r="E14">
        <v>1922</v>
      </c>
      <c r="F14" t="s">
        <v>9</v>
      </c>
      <c r="G14">
        <v>12316.46</v>
      </c>
      <c r="H14">
        <v>-2107.59</v>
      </c>
    </row>
    <row r="15" spans="1:11" hidden="1" x14ac:dyDescent="0.25">
      <c r="A15" t="s">
        <v>12</v>
      </c>
      <c r="B15">
        <v>1922</v>
      </c>
      <c r="C15" t="s">
        <v>9</v>
      </c>
      <c r="D15">
        <v>12316.46</v>
      </c>
      <c r="E15">
        <v>1923</v>
      </c>
      <c r="F15" t="s">
        <v>10</v>
      </c>
      <c r="G15">
        <v>13090.91</v>
      </c>
      <c r="H15">
        <v>774.45</v>
      </c>
    </row>
    <row r="16" spans="1:11" x14ac:dyDescent="0.25">
      <c r="A16" t="s">
        <v>19</v>
      </c>
      <c r="B16">
        <v>1923</v>
      </c>
      <c r="C16" t="s">
        <v>9</v>
      </c>
      <c r="D16">
        <v>20765.79</v>
      </c>
      <c r="E16">
        <v>1924</v>
      </c>
      <c r="F16" t="s">
        <v>10</v>
      </c>
      <c r="G16">
        <v>19597.23</v>
      </c>
      <c r="H16">
        <v>-1168.56</v>
      </c>
    </row>
    <row r="17" spans="1:8" hidden="1" x14ac:dyDescent="0.25">
      <c r="A17" t="s">
        <v>20</v>
      </c>
      <c r="B17">
        <v>1924</v>
      </c>
      <c r="C17" t="s">
        <v>9</v>
      </c>
      <c r="D17">
        <v>4284.8100000000004</v>
      </c>
      <c r="E17">
        <v>1925</v>
      </c>
      <c r="F17" t="s">
        <v>10</v>
      </c>
      <c r="G17">
        <v>5631.58</v>
      </c>
      <c r="H17">
        <v>1346.77</v>
      </c>
    </row>
    <row r="18" spans="1:8" hidden="1" x14ac:dyDescent="0.25">
      <c r="A18" t="s">
        <v>21</v>
      </c>
      <c r="B18">
        <v>1925</v>
      </c>
      <c r="C18" t="s">
        <v>9</v>
      </c>
      <c r="D18">
        <v>9225.36</v>
      </c>
      <c r="E18">
        <v>1926</v>
      </c>
      <c r="F18" t="s">
        <v>10</v>
      </c>
      <c r="G18">
        <v>1734.18</v>
      </c>
      <c r="H18">
        <v>-7491.18</v>
      </c>
    </row>
    <row r="19" spans="1:8" hidden="1" x14ac:dyDescent="0.25">
      <c r="A19" t="s">
        <v>22</v>
      </c>
      <c r="B19">
        <v>1926</v>
      </c>
      <c r="C19" t="s">
        <v>9</v>
      </c>
      <c r="D19">
        <v>3535.18</v>
      </c>
      <c r="E19">
        <v>1927</v>
      </c>
      <c r="F19" t="s">
        <v>10</v>
      </c>
      <c r="G19">
        <v>7814.31</v>
      </c>
      <c r="H19">
        <v>4279.13</v>
      </c>
    </row>
    <row r="20" spans="1:8" x14ac:dyDescent="0.25">
      <c r="A20" t="s">
        <v>19</v>
      </c>
      <c r="B20">
        <v>1927</v>
      </c>
      <c r="C20" t="s">
        <v>9</v>
      </c>
      <c r="D20">
        <v>19326.509999999998</v>
      </c>
      <c r="E20">
        <v>1928</v>
      </c>
      <c r="F20" t="s">
        <v>9</v>
      </c>
      <c r="G20">
        <v>11470.97</v>
      </c>
      <c r="H20">
        <v>-7855.54</v>
      </c>
    </row>
    <row r="21" spans="1:8" x14ac:dyDescent="0.25">
      <c r="A21" t="s">
        <v>19</v>
      </c>
      <c r="B21">
        <v>1928</v>
      </c>
      <c r="C21" t="s">
        <v>9</v>
      </c>
      <c r="D21">
        <v>11470.97</v>
      </c>
      <c r="E21">
        <v>1929</v>
      </c>
      <c r="F21" t="s">
        <v>10</v>
      </c>
      <c r="G21">
        <v>11294.09</v>
      </c>
      <c r="H21">
        <v>-176.88</v>
      </c>
    </row>
    <row r="22" spans="1:8" hidden="1" x14ac:dyDescent="0.25">
      <c r="A22" t="s">
        <v>13</v>
      </c>
      <c r="B22">
        <v>1929</v>
      </c>
      <c r="C22" t="s">
        <v>9</v>
      </c>
      <c r="D22">
        <v>4027.03</v>
      </c>
      <c r="E22">
        <v>1930</v>
      </c>
      <c r="F22" t="s">
        <v>9</v>
      </c>
      <c r="G22">
        <v>3026.32</v>
      </c>
      <c r="H22">
        <v>-1000.71</v>
      </c>
    </row>
    <row r="23" spans="1:8" hidden="1" x14ac:dyDescent="0.25">
      <c r="A23" t="s">
        <v>13</v>
      </c>
      <c r="B23">
        <v>1930</v>
      </c>
      <c r="C23" t="s">
        <v>9</v>
      </c>
      <c r="D23">
        <v>3026.32</v>
      </c>
      <c r="E23">
        <v>1931</v>
      </c>
      <c r="F23" t="s">
        <v>10</v>
      </c>
      <c r="G23">
        <v>4853.33</v>
      </c>
      <c r="H23">
        <v>1827.01</v>
      </c>
    </row>
    <row r="24" spans="1:8" hidden="1" x14ac:dyDescent="0.25">
      <c r="A24" t="s">
        <v>22</v>
      </c>
      <c r="B24">
        <v>1931</v>
      </c>
      <c r="C24" t="s">
        <v>9</v>
      </c>
      <c r="D24">
        <v>5235.26</v>
      </c>
      <c r="E24">
        <v>1932</v>
      </c>
      <c r="F24" t="s">
        <v>10</v>
      </c>
      <c r="G24">
        <v>2942.56</v>
      </c>
      <c r="H24">
        <v>-2292.6999999999998</v>
      </c>
    </row>
    <row r="25" spans="1:8" x14ac:dyDescent="0.25">
      <c r="A25" t="s">
        <v>19</v>
      </c>
      <c r="B25">
        <v>1932</v>
      </c>
      <c r="C25" t="s">
        <v>9</v>
      </c>
      <c r="D25">
        <v>9894.23</v>
      </c>
      <c r="E25">
        <v>1933</v>
      </c>
      <c r="F25" t="s">
        <v>10</v>
      </c>
      <c r="G25">
        <v>13513.13</v>
      </c>
      <c r="H25">
        <v>3618.9</v>
      </c>
    </row>
    <row r="26" spans="1:8" hidden="1" x14ac:dyDescent="0.25">
      <c r="A26" t="s">
        <v>12</v>
      </c>
      <c r="B26">
        <v>1933</v>
      </c>
      <c r="C26" t="s">
        <v>9</v>
      </c>
      <c r="D26">
        <v>8746.75</v>
      </c>
      <c r="E26">
        <v>1934</v>
      </c>
      <c r="F26" t="s">
        <v>10</v>
      </c>
      <c r="G26">
        <v>5034.3100000000004</v>
      </c>
      <c r="H26">
        <v>-3712.44</v>
      </c>
    </row>
    <row r="27" spans="1:8" hidden="1" x14ac:dyDescent="0.25">
      <c r="A27" t="s">
        <v>22</v>
      </c>
      <c r="B27">
        <v>1934</v>
      </c>
      <c r="C27" t="s">
        <v>9</v>
      </c>
      <c r="D27">
        <v>2067.19</v>
      </c>
      <c r="E27">
        <v>1935</v>
      </c>
      <c r="F27" t="s">
        <v>10</v>
      </c>
      <c r="G27">
        <v>7470.62</v>
      </c>
      <c r="H27">
        <v>5403.43</v>
      </c>
    </row>
    <row r="28" spans="1:8" hidden="1" x14ac:dyDescent="0.25">
      <c r="A28" t="s">
        <v>23</v>
      </c>
      <c r="B28">
        <v>1935</v>
      </c>
      <c r="C28" t="s">
        <v>9</v>
      </c>
      <c r="D28">
        <v>8905.06</v>
      </c>
      <c r="E28">
        <v>1936</v>
      </c>
      <c r="F28" t="s">
        <v>10</v>
      </c>
      <c r="G28">
        <v>6385.71</v>
      </c>
      <c r="H28">
        <v>-2519.35</v>
      </c>
    </row>
    <row r="29" spans="1:8" x14ac:dyDescent="0.25">
      <c r="A29" t="s">
        <v>19</v>
      </c>
      <c r="B29">
        <v>1936</v>
      </c>
      <c r="C29" t="s">
        <v>9</v>
      </c>
      <c r="D29">
        <v>13861.84</v>
      </c>
      <c r="E29">
        <v>1937</v>
      </c>
      <c r="F29" t="s">
        <v>9</v>
      </c>
      <c r="G29">
        <v>13153.3</v>
      </c>
      <c r="H29">
        <v>-708.54</v>
      </c>
    </row>
    <row r="30" spans="1:8" x14ac:dyDescent="0.25">
      <c r="A30" t="s">
        <v>19</v>
      </c>
      <c r="B30">
        <v>1937</v>
      </c>
      <c r="C30" t="s">
        <v>9</v>
      </c>
      <c r="D30">
        <v>13153.3</v>
      </c>
      <c r="E30">
        <v>1938</v>
      </c>
      <c r="F30" t="s">
        <v>9</v>
      </c>
      <c r="G30">
        <v>12314.76</v>
      </c>
      <c r="H30">
        <v>-838.54</v>
      </c>
    </row>
    <row r="31" spans="1:8" x14ac:dyDescent="0.25">
      <c r="A31" t="s">
        <v>19</v>
      </c>
      <c r="B31">
        <v>1938</v>
      </c>
      <c r="C31" t="s">
        <v>9</v>
      </c>
      <c r="D31">
        <v>12314.76</v>
      </c>
      <c r="E31">
        <v>1939</v>
      </c>
      <c r="F31" t="s">
        <v>9</v>
      </c>
      <c r="G31">
        <v>12537.49</v>
      </c>
      <c r="H31">
        <v>222.73</v>
      </c>
    </row>
    <row r="32" spans="1:8" x14ac:dyDescent="0.25">
      <c r="A32" t="s">
        <v>19</v>
      </c>
      <c r="B32">
        <v>1939</v>
      </c>
      <c r="C32" t="s">
        <v>9</v>
      </c>
      <c r="D32">
        <v>12537.49</v>
      </c>
      <c r="E32">
        <v>1940</v>
      </c>
      <c r="F32" t="s">
        <v>10</v>
      </c>
      <c r="G32">
        <v>14587.16</v>
      </c>
      <c r="H32">
        <v>2049.67</v>
      </c>
    </row>
    <row r="33" spans="1:8" hidden="1" x14ac:dyDescent="0.25">
      <c r="A33" t="s">
        <v>17</v>
      </c>
      <c r="B33">
        <v>1940</v>
      </c>
      <c r="C33" t="s">
        <v>9</v>
      </c>
      <c r="D33">
        <v>11124.38</v>
      </c>
      <c r="E33">
        <v>1941</v>
      </c>
      <c r="F33" t="s">
        <v>10</v>
      </c>
      <c r="G33">
        <v>8268.81</v>
      </c>
      <c r="H33">
        <v>-2855.57</v>
      </c>
    </row>
    <row r="34" spans="1:8" x14ac:dyDescent="0.25">
      <c r="A34" t="s">
        <v>19</v>
      </c>
      <c r="B34">
        <v>1941</v>
      </c>
      <c r="C34" t="s">
        <v>9</v>
      </c>
      <c r="D34">
        <v>13508.69</v>
      </c>
      <c r="E34">
        <v>1942</v>
      </c>
      <c r="F34" t="s">
        <v>10</v>
      </c>
      <c r="G34">
        <v>12954.79</v>
      </c>
      <c r="H34">
        <v>-553.9</v>
      </c>
    </row>
    <row r="35" spans="1:8" hidden="1" x14ac:dyDescent="0.25">
      <c r="A35" t="s">
        <v>22</v>
      </c>
      <c r="B35">
        <v>1942</v>
      </c>
      <c r="C35" t="s">
        <v>9</v>
      </c>
      <c r="D35">
        <v>6832.54</v>
      </c>
      <c r="E35">
        <v>1943</v>
      </c>
      <c r="F35" t="s">
        <v>10</v>
      </c>
      <c r="G35">
        <v>6715.04</v>
      </c>
      <c r="H35">
        <v>-117.5</v>
      </c>
    </row>
    <row r="36" spans="1:8" x14ac:dyDescent="0.25">
      <c r="A36" t="s">
        <v>19</v>
      </c>
      <c r="B36">
        <v>1943</v>
      </c>
      <c r="C36" t="s">
        <v>9</v>
      </c>
      <c r="D36">
        <v>9039.44</v>
      </c>
      <c r="E36">
        <v>1944</v>
      </c>
      <c r="F36" t="s">
        <v>10</v>
      </c>
      <c r="G36">
        <v>13412.87</v>
      </c>
      <c r="H36">
        <v>4373.43</v>
      </c>
    </row>
    <row r="37" spans="1:8" hidden="1" x14ac:dyDescent="0.25">
      <c r="A37" t="s">
        <v>22</v>
      </c>
      <c r="B37">
        <v>1944</v>
      </c>
      <c r="C37" t="s">
        <v>9</v>
      </c>
      <c r="D37">
        <v>6772.88</v>
      </c>
      <c r="E37">
        <v>1945</v>
      </c>
      <c r="F37" t="s">
        <v>10</v>
      </c>
      <c r="G37">
        <v>7304.58</v>
      </c>
      <c r="H37">
        <v>531.70000000000005</v>
      </c>
    </row>
    <row r="38" spans="1:8" hidden="1" x14ac:dyDescent="0.25">
      <c r="A38" t="s">
        <v>23</v>
      </c>
      <c r="B38">
        <v>1945</v>
      </c>
      <c r="C38" t="s">
        <v>9</v>
      </c>
      <c r="D38">
        <v>16420.3</v>
      </c>
      <c r="E38">
        <v>1946</v>
      </c>
      <c r="F38" t="s">
        <v>10</v>
      </c>
      <c r="G38">
        <v>19397.560000000001</v>
      </c>
      <c r="H38">
        <v>2977.26</v>
      </c>
    </row>
    <row r="39" spans="1:8" hidden="1" x14ac:dyDescent="0.25">
      <c r="A39" t="s">
        <v>22</v>
      </c>
      <c r="B39">
        <v>1946</v>
      </c>
      <c r="C39" t="s">
        <v>9</v>
      </c>
      <c r="D39">
        <v>13590.86</v>
      </c>
      <c r="E39">
        <v>1947</v>
      </c>
      <c r="F39" t="s">
        <v>10</v>
      </c>
      <c r="G39">
        <v>16079.13</v>
      </c>
      <c r="H39">
        <v>2488.27</v>
      </c>
    </row>
    <row r="40" spans="1:8" x14ac:dyDescent="0.25">
      <c r="A40" t="s">
        <v>19</v>
      </c>
      <c r="B40">
        <v>1947</v>
      </c>
      <c r="C40" t="s">
        <v>9</v>
      </c>
      <c r="D40">
        <v>28896.23</v>
      </c>
      <c r="E40">
        <v>1948</v>
      </c>
      <c r="F40" t="s">
        <v>10</v>
      </c>
      <c r="G40">
        <v>31314.22</v>
      </c>
      <c r="H40">
        <v>2417.9899999999998</v>
      </c>
    </row>
    <row r="41" spans="1:8" hidden="1" x14ac:dyDescent="0.25">
      <c r="A41" t="s">
        <v>18</v>
      </c>
      <c r="B41">
        <v>1948</v>
      </c>
      <c r="C41" t="s">
        <v>9</v>
      </c>
      <c r="D41">
        <v>33670.76</v>
      </c>
      <c r="E41">
        <v>1949</v>
      </c>
      <c r="F41" t="s">
        <v>10</v>
      </c>
      <c r="G41">
        <v>30189.51</v>
      </c>
      <c r="H41">
        <v>-3481.25</v>
      </c>
    </row>
    <row r="42" spans="1:8" x14ac:dyDescent="0.25">
      <c r="A42" t="s">
        <v>19</v>
      </c>
      <c r="B42">
        <v>1949</v>
      </c>
      <c r="C42" t="s">
        <v>9</v>
      </c>
      <c r="D42">
        <v>29760.79</v>
      </c>
      <c r="E42">
        <v>1950</v>
      </c>
      <c r="F42" t="s">
        <v>9</v>
      </c>
      <c r="G42">
        <v>26063.66</v>
      </c>
      <c r="H42">
        <v>-3697.13</v>
      </c>
    </row>
    <row r="43" spans="1:8" x14ac:dyDescent="0.25">
      <c r="A43" t="s">
        <v>19</v>
      </c>
      <c r="B43">
        <v>1950</v>
      </c>
      <c r="C43" t="s">
        <v>9</v>
      </c>
      <c r="D43">
        <v>26063.66</v>
      </c>
      <c r="E43">
        <v>1951</v>
      </c>
      <c r="F43" t="s">
        <v>9</v>
      </c>
      <c r="G43">
        <v>24750.37</v>
      </c>
      <c r="H43">
        <v>-1313.29</v>
      </c>
    </row>
    <row r="44" spans="1:8" x14ac:dyDescent="0.25">
      <c r="A44" t="s">
        <v>19</v>
      </c>
      <c r="B44">
        <v>1951</v>
      </c>
      <c r="C44" t="s">
        <v>9</v>
      </c>
      <c r="D44">
        <v>24750.37</v>
      </c>
      <c r="E44">
        <v>1952</v>
      </c>
      <c r="F44" t="s">
        <v>9</v>
      </c>
      <c r="G44">
        <v>20694.79</v>
      </c>
      <c r="H44">
        <v>-4055.58</v>
      </c>
    </row>
    <row r="45" spans="1:8" x14ac:dyDescent="0.25">
      <c r="A45" t="s">
        <v>19</v>
      </c>
      <c r="B45">
        <v>1952</v>
      </c>
      <c r="C45" t="s">
        <v>9</v>
      </c>
      <c r="D45">
        <v>20694.79</v>
      </c>
      <c r="E45">
        <v>1953</v>
      </c>
      <c r="F45" t="s">
        <v>9</v>
      </c>
      <c r="G45">
        <v>19439.18</v>
      </c>
      <c r="H45">
        <v>-1255.6099999999999</v>
      </c>
    </row>
    <row r="46" spans="1:8" x14ac:dyDescent="0.25">
      <c r="A46" t="s">
        <v>19</v>
      </c>
      <c r="B46">
        <v>1953</v>
      </c>
      <c r="C46" t="s">
        <v>9</v>
      </c>
      <c r="D46">
        <v>19439.18</v>
      </c>
      <c r="E46">
        <v>1954</v>
      </c>
      <c r="F46" t="s">
        <v>10</v>
      </c>
      <c r="G46">
        <v>18910.91</v>
      </c>
      <c r="H46">
        <v>-528.27</v>
      </c>
    </row>
    <row r="47" spans="1:8" hidden="1" x14ac:dyDescent="0.25">
      <c r="A47" t="s">
        <v>12</v>
      </c>
      <c r="B47">
        <v>1954</v>
      </c>
      <c r="C47" t="s">
        <v>9</v>
      </c>
      <c r="D47">
        <v>15329.88</v>
      </c>
      <c r="E47">
        <v>1955</v>
      </c>
      <c r="F47" t="s">
        <v>10</v>
      </c>
      <c r="G47">
        <v>10445.59</v>
      </c>
      <c r="H47">
        <v>-4884.29</v>
      </c>
    </row>
    <row r="48" spans="1:8" hidden="1" x14ac:dyDescent="0.25">
      <c r="A48" t="s">
        <v>24</v>
      </c>
      <c r="B48">
        <v>1955</v>
      </c>
      <c r="C48" t="s">
        <v>9</v>
      </c>
      <c r="D48">
        <v>13266.09</v>
      </c>
      <c r="E48">
        <v>1956</v>
      </c>
      <c r="F48" t="s">
        <v>10</v>
      </c>
      <c r="G48">
        <v>16066.92</v>
      </c>
      <c r="H48">
        <v>2800.83</v>
      </c>
    </row>
    <row r="49" spans="1:8" x14ac:dyDescent="0.25">
      <c r="A49" t="s">
        <v>19</v>
      </c>
      <c r="B49">
        <v>1956</v>
      </c>
      <c r="C49" t="s">
        <v>9</v>
      </c>
      <c r="D49">
        <v>21212.74</v>
      </c>
      <c r="E49">
        <v>1957</v>
      </c>
      <c r="F49" t="s">
        <v>10</v>
      </c>
      <c r="G49">
        <v>19517.95</v>
      </c>
      <c r="H49">
        <v>-1694.79</v>
      </c>
    </row>
    <row r="50" spans="1:8" hidden="1" x14ac:dyDescent="0.25">
      <c r="A50" t="s">
        <v>25</v>
      </c>
      <c r="B50">
        <v>1957</v>
      </c>
      <c r="C50" t="s">
        <v>9</v>
      </c>
      <c r="D50">
        <v>28397.96</v>
      </c>
      <c r="E50">
        <v>1958</v>
      </c>
      <c r="F50" t="s">
        <v>10</v>
      </c>
      <c r="G50">
        <v>25361.08</v>
      </c>
      <c r="H50">
        <v>-3036.88</v>
      </c>
    </row>
    <row r="51" spans="1:8" x14ac:dyDescent="0.25">
      <c r="A51" t="s">
        <v>19</v>
      </c>
      <c r="B51">
        <v>1958</v>
      </c>
      <c r="C51" t="s">
        <v>9</v>
      </c>
      <c r="D51">
        <v>17901.04</v>
      </c>
      <c r="E51">
        <v>1959</v>
      </c>
      <c r="F51" t="s">
        <v>10</v>
      </c>
      <c r="G51">
        <v>21576.65</v>
      </c>
      <c r="H51">
        <v>3675.61</v>
      </c>
    </row>
    <row r="52" spans="1:8" hidden="1" x14ac:dyDescent="0.25">
      <c r="A52" t="s">
        <v>26</v>
      </c>
      <c r="B52">
        <v>1959</v>
      </c>
      <c r="C52" t="s">
        <v>9</v>
      </c>
      <c r="D52">
        <v>26711.85</v>
      </c>
      <c r="E52">
        <v>1960</v>
      </c>
      <c r="F52" t="s">
        <v>10</v>
      </c>
      <c r="G52">
        <v>29467.38</v>
      </c>
      <c r="H52">
        <v>2755.53</v>
      </c>
    </row>
    <row r="53" spans="1:8" hidden="1" x14ac:dyDescent="0.25">
      <c r="A53" t="s">
        <v>21</v>
      </c>
      <c r="B53">
        <v>1960</v>
      </c>
      <c r="C53" t="s">
        <v>9</v>
      </c>
      <c r="D53">
        <v>21885.759999999998</v>
      </c>
      <c r="E53">
        <v>1961</v>
      </c>
      <c r="F53" t="s">
        <v>10</v>
      </c>
      <c r="G53">
        <v>15574</v>
      </c>
      <c r="H53">
        <v>-6311.76</v>
      </c>
    </row>
    <row r="54" spans="1:8" x14ac:dyDescent="0.25">
      <c r="A54" t="s">
        <v>19</v>
      </c>
      <c r="B54">
        <v>1961</v>
      </c>
      <c r="C54" t="s">
        <v>9</v>
      </c>
      <c r="D54">
        <v>21576.86</v>
      </c>
      <c r="E54">
        <v>1962</v>
      </c>
      <c r="F54" t="s">
        <v>9</v>
      </c>
      <c r="G54">
        <v>20079.060000000001</v>
      </c>
      <c r="H54">
        <v>-1497.8</v>
      </c>
    </row>
    <row r="55" spans="1:8" x14ac:dyDescent="0.25">
      <c r="A55" t="s">
        <v>19</v>
      </c>
      <c r="B55">
        <v>1962</v>
      </c>
      <c r="C55" t="s">
        <v>9</v>
      </c>
      <c r="D55">
        <v>20079.060000000001</v>
      </c>
      <c r="E55">
        <v>1963</v>
      </c>
      <c r="F55" t="s">
        <v>10</v>
      </c>
      <c r="G55">
        <v>18256.71</v>
      </c>
      <c r="H55">
        <v>-1822.35</v>
      </c>
    </row>
    <row r="56" spans="1:8" hidden="1" x14ac:dyDescent="0.25">
      <c r="A56" t="s">
        <v>26</v>
      </c>
      <c r="B56">
        <v>1963</v>
      </c>
      <c r="C56" t="s">
        <v>9</v>
      </c>
      <c r="D56">
        <v>31341.47</v>
      </c>
      <c r="E56">
        <v>1964</v>
      </c>
      <c r="F56" t="s">
        <v>10</v>
      </c>
      <c r="G56">
        <v>27586.400000000001</v>
      </c>
      <c r="H56">
        <v>-3755.07</v>
      </c>
    </row>
    <row r="57" spans="1:8" hidden="1" x14ac:dyDescent="0.25">
      <c r="A57" t="s">
        <v>22</v>
      </c>
      <c r="B57">
        <v>1964</v>
      </c>
      <c r="C57" t="s">
        <v>9</v>
      </c>
      <c r="D57">
        <v>14107</v>
      </c>
      <c r="E57">
        <v>1965</v>
      </c>
      <c r="F57" t="s">
        <v>10</v>
      </c>
      <c r="G57">
        <v>15245.57</v>
      </c>
      <c r="H57">
        <v>1138.57</v>
      </c>
    </row>
    <row r="58" spans="1:8" hidden="1" x14ac:dyDescent="0.25">
      <c r="A58" t="s">
        <v>26</v>
      </c>
      <c r="B58">
        <v>1965</v>
      </c>
      <c r="C58" t="s">
        <v>9</v>
      </c>
      <c r="D58">
        <v>31612.94</v>
      </c>
      <c r="E58">
        <v>1966</v>
      </c>
      <c r="F58" t="s">
        <v>10</v>
      </c>
      <c r="G58">
        <v>32309.33</v>
      </c>
      <c r="H58">
        <v>696.39</v>
      </c>
    </row>
    <row r="59" spans="1:8" hidden="1" x14ac:dyDescent="0.25">
      <c r="A59" t="s">
        <v>27</v>
      </c>
      <c r="B59">
        <v>1966</v>
      </c>
      <c r="C59" t="s">
        <v>9</v>
      </c>
      <c r="D59">
        <v>15233.22</v>
      </c>
      <c r="E59">
        <v>1967</v>
      </c>
      <c r="F59" t="s">
        <v>10</v>
      </c>
      <c r="G59">
        <v>11102.62</v>
      </c>
      <c r="H59">
        <v>-4130.6000000000004</v>
      </c>
    </row>
    <row r="60" spans="1:8" hidden="1" x14ac:dyDescent="0.25">
      <c r="A60" t="s">
        <v>22</v>
      </c>
      <c r="B60">
        <v>1967</v>
      </c>
      <c r="C60" t="s">
        <v>9</v>
      </c>
      <c r="D60">
        <v>25798.09</v>
      </c>
      <c r="E60">
        <v>1968</v>
      </c>
      <c r="F60" t="s">
        <v>10</v>
      </c>
      <c r="G60">
        <v>24834.16</v>
      </c>
      <c r="H60">
        <v>-963.93</v>
      </c>
    </row>
    <row r="61" spans="1:8" hidden="1" x14ac:dyDescent="0.25">
      <c r="A61" t="s">
        <v>23</v>
      </c>
      <c r="B61">
        <v>1968</v>
      </c>
      <c r="C61" t="s">
        <v>9</v>
      </c>
      <c r="D61">
        <v>25089.59</v>
      </c>
      <c r="E61">
        <v>1969</v>
      </c>
      <c r="F61" t="s">
        <v>10</v>
      </c>
      <c r="G61">
        <v>19556.330000000002</v>
      </c>
      <c r="H61">
        <v>-5533.26</v>
      </c>
    </row>
    <row r="62" spans="1:8" hidden="1" x14ac:dyDescent="0.25">
      <c r="A62" t="s">
        <v>28</v>
      </c>
      <c r="B62">
        <v>1969</v>
      </c>
      <c r="C62" t="s">
        <v>9</v>
      </c>
      <c r="D62">
        <v>26732.82</v>
      </c>
      <c r="E62">
        <v>1970</v>
      </c>
      <c r="F62" t="s">
        <v>10</v>
      </c>
      <c r="G62">
        <v>32895.800000000003</v>
      </c>
      <c r="H62">
        <v>6162.98</v>
      </c>
    </row>
    <row r="63" spans="1:8" hidden="1" x14ac:dyDescent="0.25">
      <c r="A63" t="s">
        <v>27</v>
      </c>
      <c r="B63">
        <v>1970</v>
      </c>
      <c r="C63" t="s">
        <v>9</v>
      </c>
      <c r="D63">
        <v>12690.17</v>
      </c>
      <c r="E63">
        <v>1971</v>
      </c>
      <c r="F63" t="s">
        <v>10</v>
      </c>
      <c r="G63">
        <v>13416.04</v>
      </c>
      <c r="H63">
        <v>725.87</v>
      </c>
    </row>
    <row r="64" spans="1:8" hidden="1" x14ac:dyDescent="0.25">
      <c r="A64" t="s">
        <v>21</v>
      </c>
      <c r="B64">
        <v>1971</v>
      </c>
      <c r="C64" t="s">
        <v>9</v>
      </c>
      <c r="D64">
        <v>19254.599999999999</v>
      </c>
      <c r="E64">
        <v>1972</v>
      </c>
      <c r="F64" t="s">
        <v>10</v>
      </c>
      <c r="G64">
        <v>19499.599999999999</v>
      </c>
      <c r="H64">
        <v>245</v>
      </c>
    </row>
    <row r="65" spans="1:8" hidden="1" x14ac:dyDescent="0.25">
      <c r="A65" t="s">
        <v>29</v>
      </c>
      <c r="B65">
        <v>1972</v>
      </c>
      <c r="C65" t="s">
        <v>9</v>
      </c>
      <c r="D65">
        <v>12046.03</v>
      </c>
      <c r="E65">
        <v>1973</v>
      </c>
      <c r="F65" t="s">
        <v>9</v>
      </c>
      <c r="G65">
        <v>12346.23</v>
      </c>
      <c r="H65">
        <v>300.2</v>
      </c>
    </row>
    <row r="66" spans="1:8" hidden="1" x14ac:dyDescent="0.25">
      <c r="A66" t="s">
        <v>29</v>
      </c>
      <c r="B66">
        <v>1973</v>
      </c>
      <c r="C66" t="s">
        <v>9</v>
      </c>
      <c r="D66">
        <v>12346.23</v>
      </c>
      <c r="E66">
        <v>1974</v>
      </c>
      <c r="F66" t="s">
        <v>9</v>
      </c>
      <c r="G66">
        <v>10329.16</v>
      </c>
      <c r="H66">
        <v>-2017.07</v>
      </c>
    </row>
    <row r="67" spans="1:8" hidden="1" x14ac:dyDescent="0.25">
      <c r="A67" t="s">
        <v>29</v>
      </c>
      <c r="B67">
        <v>1974</v>
      </c>
      <c r="C67" t="s">
        <v>9</v>
      </c>
      <c r="D67">
        <v>10329.16</v>
      </c>
      <c r="E67">
        <v>1975</v>
      </c>
      <c r="F67" t="s">
        <v>10</v>
      </c>
      <c r="G67">
        <v>13303.67</v>
      </c>
      <c r="H67">
        <v>2974.51</v>
      </c>
    </row>
    <row r="68" spans="1:8" hidden="1" x14ac:dyDescent="0.25">
      <c r="A68" t="s">
        <v>17</v>
      </c>
      <c r="B68">
        <v>1975</v>
      </c>
      <c r="C68" t="s">
        <v>9</v>
      </c>
      <c r="D68">
        <v>28587.69</v>
      </c>
      <c r="E68">
        <v>1976</v>
      </c>
      <c r="F68" t="s">
        <v>9</v>
      </c>
      <c r="G68">
        <v>32465.53</v>
      </c>
      <c r="H68">
        <v>3877.84</v>
      </c>
    </row>
    <row r="69" spans="1:8" hidden="1" x14ac:dyDescent="0.25">
      <c r="A69" t="s">
        <v>17</v>
      </c>
      <c r="B69">
        <v>1976</v>
      </c>
      <c r="C69" t="s">
        <v>9</v>
      </c>
      <c r="D69">
        <v>32465.53</v>
      </c>
      <c r="E69">
        <v>1977</v>
      </c>
      <c r="F69" t="s">
        <v>10</v>
      </c>
      <c r="G69">
        <v>31185.57</v>
      </c>
      <c r="H69">
        <v>-1279.96</v>
      </c>
    </row>
    <row r="70" spans="1:8" x14ac:dyDescent="0.25">
      <c r="A70" t="s">
        <v>19</v>
      </c>
      <c r="B70">
        <v>1977</v>
      </c>
      <c r="C70" t="s">
        <v>9</v>
      </c>
      <c r="D70">
        <v>28592.880000000001</v>
      </c>
      <c r="E70">
        <v>1978</v>
      </c>
      <c r="F70" t="s">
        <v>9</v>
      </c>
      <c r="G70">
        <v>29930.85</v>
      </c>
      <c r="H70">
        <v>1337.97</v>
      </c>
    </row>
    <row r="71" spans="1:8" x14ac:dyDescent="0.25">
      <c r="A71" t="s">
        <v>19</v>
      </c>
      <c r="B71">
        <v>1978</v>
      </c>
      <c r="C71" t="s">
        <v>9</v>
      </c>
      <c r="D71">
        <v>29930.85</v>
      </c>
      <c r="E71">
        <v>1979</v>
      </c>
      <c r="F71" t="s">
        <v>10</v>
      </c>
      <c r="G71">
        <v>31405.53</v>
      </c>
      <c r="H71">
        <v>1474.68</v>
      </c>
    </row>
    <row r="72" spans="1:8" hidden="1" x14ac:dyDescent="0.25">
      <c r="A72" t="s">
        <v>21</v>
      </c>
      <c r="B72">
        <v>1979</v>
      </c>
      <c r="C72" t="s">
        <v>9</v>
      </c>
      <c r="D72">
        <v>17721.32</v>
      </c>
      <c r="E72">
        <v>1980</v>
      </c>
      <c r="F72" t="s">
        <v>10</v>
      </c>
      <c r="G72">
        <v>20268.599999999999</v>
      </c>
      <c r="H72">
        <v>2547.2800000000002</v>
      </c>
    </row>
    <row r="73" spans="1:8" hidden="1" x14ac:dyDescent="0.25">
      <c r="A73" t="s">
        <v>30</v>
      </c>
      <c r="B73">
        <v>1980</v>
      </c>
      <c r="C73" t="s">
        <v>9</v>
      </c>
      <c r="D73">
        <v>32826.629999999997</v>
      </c>
      <c r="E73">
        <v>1981</v>
      </c>
      <c r="F73" t="s">
        <v>10</v>
      </c>
      <c r="G73">
        <v>29798.44</v>
      </c>
      <c r="H73">
        <v>-3028.19</v>
      </c>
    </row>
    <row r="74" spans="1:8" hidden="1" x14ac:dyDescent="0.25">
      <c r="A74" t="s">
        <v>26</v>
      </c>
      <c r="B74">
        <v>1981</v>
      </c>
      <c r="C74" t="s">
        <v>9</v>
      </c>
      <c r="D74">
        <v>42546.05</v>
      </c>
      <c r="E74">
        <v>1982</v>
      </c>
      <c r="F74" t="s">
        <v>10</v>
      </c>
      <c r="G74">
        <v>44554.09</v>
      </c>
      <c r="H74">
        <v>2008.04</v>
      </c>
    </row>
    <row r="75" spans="1:8" hidden="1" x14ac:dyDescent="0.25">
      <c r="A75" t="s">
        <v>22</v>
      </c>
      <c r="B75">
        <v>1982</v>
      </c>
      <c r="C75" t="s">
        <v>9</v>
      </c>
      <c r="D75">
        <v>26073.11</v>
      </c>
      <c r="E75">
        <v>1983</v>
      </c>
      <c r="F75" t="s">
        <v>10</v>
      </c>
      <c r="G75">
        <v>28934.19</v>
      </c>
      <c r="H75">
        <v>2861.08</v>
      </c>
    </row>
    <row r="76" spans="1:8" hidden="1" x14ac:dyDescent="0.25">
      <c r="A76" t="s">
        <v>27</v>
      </c>
      <c r="B76">
        <v>1983</v>
      </c>
      <c r="C76" t="s">
        <v>9</v>
      </c>
      <c r="D76">
        <v>25140.7</v>
      </c>
      <c r="E76">
        <v>1984</v>
      </c>
      <c r="F76" t="s">
        <v>10</v>
      </c>
      <c r="G76">
        <v>25150.69</v>
      </c>
      <c r="H76">
        <v>9.99</v>
      </c>
    </row>
    <row r="77" spans="1:8" hidden="1" x14ac:dyDescent="0.25">
      <c r="A77" t="s">
        <v>23</v>
      </c>
      <c r="B77">
        <v>1984</v>
      </c>
      <c r="C77" t="s">
        <v>9</v>
      </c>
      <c r="D77">
        <v>32985.29</v>
      </c>
      <c r="E77">
        <v>1985</v>
      </c>
      <c r="F77" t="s">
        <v>10</v>
      </c>
      <c r="G77">
        <v>28229.75</v>
      </c>
      <c r="H77">
        <v>-4755.54</v>
      </c>
    </row>
    <row r="78" spans="1:8" hidden="1" x14ac:dyDescent="0.25">
      <c r="A78" t="s">
        <v>31</v>
      </c>
      <c r="B78">
        <v>1985</v>
      </c>
      <c r="C78" t="s">
        <v>9</v>
      </c>
      <c r="D78">
        <v>26374.57</v>
      </c>
      <c r="E78">
        <v>1986</v>
      </c>
      <c r="F78" t="s">
        <v>10</v>
      </c>
      <c r="G78">
        <v>28651.41</v>
      </c>
      <c r="H78">
        <v>2276.84</v>
      </c>
    </row>
    <row r="79" spans="1:8" hidden="1" x14ac:dyDescent="0.25">
      <c r="A79" t="s">
        <v>28</v>
      </c>
      <c r="B79">
        <v>1986</v>
      </c>
      <c r="C79" t="s">
        <v>9</v>
      </c>
      <c r="D79">
        <v>34103.910000000003</v>
      </c>
      <c r="E79">
        <v>1987</v>
      </c>
      <c r="F79" t="s">
        <v>10</v>
      </c>
      <c r="G79">
        <v>37371.86</v>
      </c>
      <c r="H79">
        <v>3267.95</v>
      </c>
    </row>
    <row r="80" spans="1:8" hidden="1" x14ac:dyDescent="0.25">
      <c r="A80" t="s">
        <v>32</v>
      </c>
      <c r="B80">
        <v>1987</v>
      </c>
      <c r="C80" t="s">
        <v>9</v>
      </c>
      <c r="D80">
        <v>25706.21</v>
      </c>
      <c r="E80">
        <v>1988</v>
      </c>
      <c r="F80" t="s">
        <v>10</v>
      </c>
      <c r="G80">
        <v>37407.4</v>
      </c>
      <c r="H80">
        <v>11701.19</v>
      </c>
    </row>
    <row r="81" spans="1:8" hidden="1" x14ac:dyDescent="0.25">
      <c r="A81" t="s">
        <v>26</v>
      </c>
      <c r="B81">
        <v>1988</v>
      </c>
      <c r="C81" t="s">
        <v>9</v>
      </c>
      <c r="D81">
        <v>36793.360000000001</v>
      </c>
      <c r="E81">
        <v>1989</v>
      </c>
      <c r="F81" t="s">
        <v>10</v>
      </c>
      <c r="G81">
        <v>36343.620000000003</v>
      </c>
      <c r="H81">
        <v>-449.74</v>
      </c>
    </row>
    <row r="82" spans="1:8" hidden="1" x14ac:dyDescent="0.25">
      <c r="A82" t="s">
        <v>29</v>
      </c>
      <c r="B82">
        <v>1989</v>
      </c>
      <c r="C82" t="s">
        <v>9</v>
      </c>
      <c r="D82">
        <v>32983.22</v>
      </c>
      <c r="E82">
        <v>1990</v>
      </c>
      <c r="F82" t="s">
        <v>10</v>
      </c>
      <c r="G82">
        <v>35842.01</v>
      </c>
      <c r="H82">
        <v>2858.79</v>
      </c>
    </row>
    <row r="83" spans="1:8" hidden="1" x14ac:dyDescent="0.25">
      <c r="A83" t="s">
        <v>17</v>
      </c>
      <c r="B83">
        <v>1990</v>
      </c>
      <c r="C83" t="s">
        <v>9</v>
      </c>
      <c r="D83">
        <v>29723</v>
      </c>
      <c r="E83">
        <v>1991</v>
      </c>
      <c r="F83" t="s">
        <v>10</v>
      </c>
      <c r="G83">
        <v>29288.6</v>
      </c>
      <c r="H83">
        <v>-434.4</v>
      </c>
    </row>
    <row r="84" spans="1:8" hidden="1" x14ac:dyDescent="0.25">
      <c r="A84" t="s">
        <v>32</v>
      </c>
      <c r="B84">
        <v>1991</v>
      </c>
      <c r="C84" t="s">
        <v>9</v>
      </c>
      <c r="D84">
        <v>28319.040000000001</v>
      </c>
      <c r="E84">
        <v>1992</v>
      </c>
      <c r="F84" t="s">
        <v>10</v>
      </c>
      <c r="G84">
        <v>30644.3</v>
      </c>
      <c r="H84">
        <v>2325.2600000000002</v>
      </c>
    </row>
    <row r="85" spans="1:8" hidden="1" x14ac:dyDescent="0.25">
      <c r="A85" t="s">
        <v>33</v>
      </c>
      <c r="B85">
        <v>1992</v>
      </c>
      <c r="C85" t="s">
        <v>9</v>
      </c>
      <c r="D85">
        <v>49732.32</v>
      </c>
      <c r="E85">
        <v>1993</v>
      </c>
      <c r="F85" t="s">
        <v>9</v>
      </c>
      <c r="G85">
        <v>50095.64</v>
      </c>
      <c r="H85">
        <v>363.32</v>
      </c>
    </row>
    <row r="86" spans="1:8" hidden="1" x14ac:dyDescent="0.25">
      <c r="A86" t="s">
        <v>33</v>
      </c>
      <c r="B86">
        <v>1993</v>
      </c>
      <c r="C86" t="s">
        <v>9</v>
      </c>
      <c r="D86">
        <v>50095.64</v>
      </c>
      <c r="E86">
        <v>1994</v>
      </c>
      <c r="F86" t="s">
        <v>34</v>
      </c>
      <c r="G86">
        <v>49287.27</v>
      </c>
      <c r="H86">
        <v>-808.37</v>
      </c>
    </row>
    <row r="87" spans="1:8" hidden="1" x14ac:dyDescent="0.25">
      <c r="A87" t="s">
        <v>35</v>
      </c>
      <c r="B87">
        <v>1995</v>
      </c>
      <c r="C87" t="s">
        <v>9</v>
      </c>
      <c r="D87">
        <v>35617.94</v>
      </c>
      <c r="E87">
        <v>1996</v>
      </c>
      <c r="F87" t="s">
        <v>10</v>
      </c>
      <c r="G87">
        <v>35787.730000000003</v>
      </c>
      <c r="H87">
        <v>169.79</v>
      </c>
    </row>
    <row r="88" spans="1:8" x14ac:dyDescent="0.25">
      <c r="A88" t="s">
        <v>19</v>
      </c>
      <c r="B88">
        <v>1996</v>
      </c>
      <c r="C88" t="s">
        <v>9</v>
      </c>
      <c r="D88">
        <v>28188.14</v>
      </c>
      <c r="E88">
        <v>1997</v>
      </c>
      <c r="F88" t="s">
        <v>10</v>
      </c>
      <c r="G88">
        <v>32263.040000000001</v>
      </c>
      <c r="H88">
        <v>4074.9</v>
      </c>
    </row>
    <row r="89" spans="1:8" hidden="1" x14ac:dyDescent="0.25">
      <c r="A89" t="s">
        <v>36</v>
      </c>
      <c r="B89">
        <v>1997</v>
      </c>
      <c r="C89" t="s">
        <v>9</v>
      </c>
      <c r="D89">
        <v>29044.04</v>
      </c>
      <c r="E89">
        <v>1998</v>
      </c>
      <c r="F89" t="s">
        <v>10</v>
      </c>
      <c r="G89">
        <v>21609.81</v>
      </c>
      <c r="H89">
        <v>-7434.23</v>
      </c>
    </row>
    <row r="90" spans="1:8" x14ac:dyDescent="0.25">
      <c r="A90" t="s">
        <v>19</v>
      </c>
      <c r="B90">
        <v>1998</v>
      </c>
      <c r="C90" t="s">
        <v>9</v>
      </c>
      <c r="D90">
        <v>36416.47</v>
      </c>
      <c r="E90">
        <v>1999</v>
      </c>
      <c r="F90" t="s">
        <v>9</v>
      </c>
      <c r="G90">
        <v>40657.519999999997</v>
      </c>
      <c r="H90">
        <v>4241.05</v>
      </c>
    </row>
    <row r="91" spans="1:8" x14ac:dyDescent="0.25">
      <c r="A91" t="s">
        <v>19</v>
      </c>
      <c r="B91">
        <v>1999</v>
      </c>
      <c r="C91" t="s">
        <v>9</v>
      </c>
      <c r="D91">
        <v>40657.519999999997</v>
      </c>
      <c r="E91">
        <v>2000</v>
      </c>
      <c r="F91" t="s">
        <v>9</v>
      </c>
      <c r="G91">
        <v>40345.71</v>
      </c>
      <c r="H91">
        <v>-311.81</v>
      </c>
    </row>
    <row r="92" spans="1:8" x14ac:dyDescent="0.25">
      <c r="A92" t="s">
        <v>19</v>
      </c>
      <c r="B92">
        <v>2000</v>
      </c>
      <c r="C92" t="s">
        <v>9</v>
      </c>
      <c r="D92">
        <v>40345.71</v>
      </c>
      <c r="E92">
        <v>2001</v>
      </c>
      <c r="F92" t="s">
        <v>10</v>
      </c>
      <c r="G92">
        <v>40810.589999999997</v>
      </c>
      <c r="H92">
        <v>464.88</v>
      </c>
    </row>
    <row r="93" spans="1:8" hidden="1" x14ac:dyDescent="0.25">
      <c r="A93" t="s">
        <v>37</v>
      </c>
      <c r="B93">
        <v>2001</v>
      </c>
      <c r="C93" t="s">
        <v>9</v>
      </c>
      <c r="D93">
        <v>33775.57</v>
      </c>
      <c r="E93">
        <v>2002</v>
      </c>
      <c r="F93" t="s">
        <v>10</v>
      </c>
      <c r="G93">
        <v>39493.519999999997</v>
      </c>
      <c r="H93">
        <v>5717.95</v>
      </c>
    </row>
    <row r="94" spans="1:8" hidden="1" x14ac:dyDescent="0.25">
      <c r="A94" t="s">
        <v>38</v>
      </c>
      <c r="B94">
        <v>2002</v>
      </c>
      <c r="C94" t="s">
        <v>9</v>
      </c>
      <c r="D94">
        <v>28462.560000000001</v>
      </c>
      <c r="E94">
        <v>2003</v>
      </c>
      <c r="F94" t="s">
        <v>10</v>
      </c>
      <c r="G94">
        <v>37330.410000000003</v>
      </c>
      <c r="H94">
        <v>8867.85</v>
      </c>
    </row>
    <row r="95" spans="1:8" hidden="1" x14ac:dyDescent="0.25">
      <c r="A95" t="s">
        <v>36</v>
      </c>
      <c r="B95">
        <v>2003</v>
      </c>
      <c r="C95" t="s">
        <v>9</v>
      </c>
      <c r="D95">
        <v>16089.06</v>
      </c>
      <c r="E95">
        <v>2004</v>
      </c>
      <c r="F95" t="s">
        <v>10</v>
      </c>
      <c r="G95">
        <v>21538.81</v>
      </c>
      <c r="H95">
        <v>5449.75</v>
      </c>
    </row>
    <row r="96" spans="1:8" hidden="1" x14ac:dyDescent="0.25">
      <c r="A96" t="s">
        <v>14</v>
      </c>
      <c r="B96">
        <v>2004</v>
      </c>
      <c r="C96" t="s">
        <v>9</v>
      </c>
      <c r="D96">
        <v>35028.44</v>
      </c>
      <c r="E96">
        <v>2005</v>
      </c>
      <c r="F96" t="s">
        <v>10</v>
      </c>
      <c r="G96">
        <v>35158</v>
      </c>
      <c r="H96">
        <v>129.56</v>
      </c>
    </row>
    <row r="97" spans="1:8" hidden="1" x14ac:dyDescent="0.25">
      <c r="A97" t="s">
        <v>16</v>
      </c>
      <c r="B97">
        <v>2005</v>
      </c>
      <c r="C97" t="s">
        <v>9</v>
      </c>
      <c r="D97">
        <v>28923.88</v>
      </c>
      <c r="E97">
        <v>2006</v>
      </c>
      <c r="F97" t="s">
        <v>10</v>
      </c>
      <c r="G97">
        <v>36511.279999999999</v>
      </c>
      <c r="H97">
        <v>7587.4</v>
      </c>
    </row>
    <row r="98" spans="1:8" hidden="1" x14ac:dyDescent="0.25">
      <c r="A98" t="s">
        <v>22</v>
      </c>
      <c r="B98">
        <v>2006</v>
      </c>
      <c r="C98" t="s">
        <v>9</v>
      </c>
      <c r="D98">
        <v>42588.800000000003</v>
      </c>
      <c r="E98">
        <v>2007</v>
      </c>
      <c r="F98" t="s">
        <v>10</v>
      </c>
      <c r="G98">
        <v>43854.07</v>
      </c>
      <c r="H98">
        <v>1265.27</v>
      </c>
    </row>
    <row r="99" spans="1:8" hidden="1" x14ac:dyDescent="0.25">
      <c r="A99" t="s">
        <v>14</v>
      </c>
      <c r="B99">
        <v>2007</v>
      </c>
      <c r="C99" t="s">
        <v>9</v>
      </c>
      <c r="D99">
        <v>36675.99</v>
      </c>
      <c r="E99">
        <v>2008</v>
      </c>
      <c r="F99" t="s">
        <v>10</v>
      </c>
      <c r="G99">
        <v>37632.720000000001</v>
      </c>
      <c r="H99">
        <v>956.73</v>
      </c>
    </row>
    <row r="100" spans="1:8" hidden="1" x14ac:dyDescent="0.25">
      <c r="A100" t="s">
        <v>30</v>
      </c>
      <c r="B100">
        <v>2008</v>
      </c>
      <c r="C100" t="s">
        <v>9</v>
      </c>
      <c r="D100">
        <v>42254.11</v>
      </c>
      <c r="E100">
        <v>2009</v>
      </c>
      <c r="F100" t="s">
        <v>10</v>
      </c>
      <c r="G100">
        <v>44453</v>
      </c>
      <c r="H100">
        <v>2198.89</v>
      </c>
    </row>
    <row r="101" spans="1:8" x14ac:dyDescent="0.25">
      <c r="A101" t="s">
        <v>19</v>
      </c>
      <c r="B101">
        <v>2009</v>
      </c>
      <c r="C101" t="s">
        <v>9</v>
      </c>
      <c r="D101">
        <v>45918</v>
      </c>
      <c r="E101">
        <v>2010</v>
      </c>
      <c r="F101" t="s">
        <v>10</v>
      </c>
      <c r="G101">
        <v>46491.44</v>
      </c>
      <c r="H101">
        <v>573.44000000000005</v>
      </c>
    </row>
    <row r="102" spans="1:8" hidden="1" x14ac:dyDescent="0.25">
      <c r="A102" t="s">
        <v>39</v>
      </c>
      <c r="B102">
        <v>2010</v>
      </c>
      <c r="C102" t="s">
        <v>9</v>
      </c>
      <c r="D102">
        <v>37497.120000000003</v>
      </c>
      <c r="E102">
        <v>2011</v>
      </c>
      <c r="F102" t="s">
        <v>10</v>
      </c>
      <c r="G102">
        <v>41818.559999999998</v>
      </c>
      <c r="H102">
        <v>4321.4399999999996</v>
      </c>
    </row>
    <row r="103" spans="1:8" hidden="1" x14ac:dyDescent="0.25">
      <c r="A103" t="s">
        <v>22</v>
      </c>
      <c r="B103">
        <v>2011</v>
      </c>
      <c r="C103" t="s">
        <v>9</v>
      </c>
      <c r="D103">
        <v>38196.959999999999</v>
      </c>
      <c r="E103">
        <v>2012</v>
      </c>
      <c r="F103" t="s">
        <v>10</v>
      </c>
      <c r="G103">
        <v>40272.949999999997</v>
      </c>
      <c r="H103">
        <v>2075.9899999999998</v>
      </c>
    </row>
    <row r="104" spans="1:8" hidden="1" x14ac:dyDescent="0.25">
      <c r="A104" t="s">
        <v>39</v>
      </c>
      <c r="B104">
        <v>2012</v>
      </c>
      <c r="C104" t="s">
        <v>9</v>
      </c>
      <c r="D104">
        <v>41695.94</v>
      </c>
      <c r="E104">
        <v>2013</v>
      </c>
      <c r="F104" t="s">
        <v>10</v>
      </c>
      <c r="G104">
        <v>41071.56</v>
      </c>
      <c r="H104">
        <v>-624.38</v>
      </c>
    </row>
    <row r="105" spans="1:8" hidden="1" x14ac:dyDescent="0.25">
      <c r="A105" t="s">
        <v>14</v>
      </c>
      <c r="B105">
        <v>2013</v>
      </c>
      <c r="C105" t="s">
        <v>9</v>
      </c>
      <c r="D105">
        <v>34979.42</v>
      </c>
      <c r="E105">
        <v>2014</v>
      </c>
      <c r="F105" t="s">
        <v>10</v>
      </c>
      <c r="G105">
        <v>36494.93</v>
      </c>
      <c r="H105">
        <v>1515.51</v>
      </c>
    </row>
    <row r="106" spans="1:8" hidden="1" x14ac:dyDescent="0.25">
      <c r="A106" t="s">
        <v>39</v>
      </c>
      <c r="B106">
        <v>2014</v>
      </c>
      <c r="C106" t="s">
        <v>9</v>
      </c>
      <c r="D106">
        <v>41588.85</v>
      </c>
      <c r="E106">
        <v>2015</v>
      </c>
      <c r="F106" t="s">
        <v>10</v>
      </c>
      <c r="G106">
        <v>41677.56</v>
      </c>
      <c r="H106">
        <v>88.71</v>
      </c>
    </row>
    <row r="107" spans="1:8" hidden="1" x14ac:dyDescent="0.25">
      <c r="A107" t="s">
        <v>31</v>
      </c>
      <c r="B107">
        <v>2015</v>
      </c>
      <c r="C107" t="s">
        <v>9</v>
      </c>
      <c r="D107">
        <v>33438.879999999997</v>
      </c>
      <c r="E107">
        <v>2016</v>
      </c>
      <c r="F107" t="s">
        <v>10</v>
      </c>
      <c r="G107">
        <v>31576.69</v>
      </c>
      <c r="H107">
        <v>-1862.19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A983-2FB9-4ACE-9821-ECBE1E288B84}">
  <dimension ref="A1:H107"/>
  <sheetViews>
    <sheetView workbookViewId="0">
      <selection activeCell="H109" sqref="H109"/>
    </sheetView>
  </sheetViews>
  <sheetFormatPr defaultRowHeight="15" x14ac:dyDescent="0.25"/>
  <cols>
    <col min="1" max="1" width="7.85546875" bestFit="1" customWidth="1"/>
    <col min="2" max="2" width="11.140625" bestFit="1" customWidth="1"/>
    <col min="3" max="3" width="8.85546875" bestFit="1" customWidth="1"/>
    <col min="4" max="4" width="31.140625" bestFit="1" customWidth="1"/>
    <col min="5" max="5" width="12" bestFit="1" customWidth="1"/>
    <col min="6" max="6" width="10.5703125" bestFit="1" customWidth="1"/>
    <col min="7" max="7" width="33.5703125" bestFit="1" customWidth="1"/>
    <col min="8" max="8" width="2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>
        <v>1886</v>
      </c>
      <c r="C2" t="s">
        <v>9</v>
      </c>
      <c r="D2">
        <v>471.43</v>
      </c>
      <c r="E2">
        <v>1887</v>
      </c>
      <c r="F2" t="s">
        <v>10</v>
      </c>
      <c r="G2">
        <v>205.48</v>
      </c>
      <c r="H2">
        <v>-265.95</v>
      </c>
    </row>
    <row r="3" spans="1:8" hidden="1" x14ac:dyDescent="0.25">
      <c r="A3" t="s">
        <v>11</v>
      </c>
      <c r="B3">
        <v>1887</v>
      </c>
      <c r="C3" t="s">
        <v>9</v>
      </c>
      <c r="D3">
        <v>269.35000000000002</v>
      </c>
      <c r="E3">
        <v>1888</v>
      </c>
      <c r="F3" t="s">
        <v>10</v>
      </c>
      <c r="G3">
        <v>205.88</v>
      </c>
      <c r="H3">
        <v>-63.47</v>
      </c>
    </row>
    <row r="4" spans="1:8" hidden="1" x14ac:dyDescent="0.25">
      <c r="A4" t="s">
        <v>12</v>
      </c>
      <c r="B4">
        <v>1888</v>
      </c>
      <c r="C4" t="s">
        <v>9</v>
      </c>
      <c r="D4">
        <v>741.43</v>
      </c>
      <c r="E4">
        <v>1889</v>
      </c>
      <c r="F4" t="s">
        <v>9</v>
      </c>
      <c r="G4">
        <v>118.89</v>
      </c>
      <c r="H4">
        <v>-622.54</v>
      </c>
    </row>
    <row r="5" spans="1:8" hidden="1" x14ac:dyDescent="0.25">
      <c r="A5" t="s">
        <v>12</v>
      </c>
      <c r="B5">
        <v>1889</v>
      </c>
      <c r="C5" t="s">
        <v>9</v>
      </c>
      <c r="D5">
        <v>118.89</v>
      </c>
      <c r="E5">
        <v>1890</v>
      </c>
      <c r="F5" t="s">
        <v>10</v>
      </c>
      <c r="G5">
        <v>152.33000000000001</v>
      </c>
      <c r="H5">
        <v>33.44</v>
      </c>
    </row>
    <row r="6" spans="1:8" hidden="1" x14ac:dyDescent="0.25">
      <c r="A6" t="s">
        <v>13</v>
      </c>
      <c r="B6">
        <v>1911</v>
      </c>
      <c r="C6" t="s">
        <v>9</v>
      </c>
      <c r="D6">
        <v>1613.33</v>
      </c>
      <c r="E6">
        <v>1912</v>
      </c>
      <c r="F6" t="s">
        <v>10</v>
      </c>
      <c r="G6">
        <v>7470.13</v>
      </c>
      <c r="H6">
        <v>5856.8</v>
      </c>
    </row>
    <row r="7" spans="1:8" hidden="1" x14ac:dyDescent="0.25">
      <c r="A7" t="s">
        <v>14</v>
      </c>
      <c r="B7">
        <v>1912</v>
      </c>
      <c r="C7" t="s">
        <v>9</v>
      </c>
      <c r="D7">
        <v>8526.2800000000007</v>
      </c>
      <c r="E7">
        <v>1913</v>
      </c>
      <c r="F7" t="s">
        <v>10</v>
      </c>
      <c r="G7">
        <v>6348</v>
      </c>
      <c r="H7">
        <v>-2178.2800000000002</v>
      </c>
    </row>
    <row r="8" spans="1:8" hidden="1" x14ac:dyDescent="0.25">
      <c r="A8" t="s">
        <v>13</v>
      </c>
      <c r="B8">
        <v>1913</v>
      </c>
      <c r="C8" t="s">
        <v>9</v>
      </c>
      <c r="D8">
        <v>7453.95</v>
      </c>
      <c r="E8">
        <v>1914</v>
      </c>
      <c r="F8" t="s">
        <v>10</v>
      </c>
      <c r="G8">
        <v>4773.08</v>
      </c>
      <c r="H8">
        <v>-2680.87</v>
      </c>
    </row>
    <row r="9" spans="1:8" hidden="1" x14ac:dyDescent="0.25">
      <c r="A9" t="s">
        <v>15</v>
      </c>
      <c r="B9">
        <v>1914</v>
      </c>
      <c r="C9" t="s">
        <v>9</v>
      </c>
      <c r="D9">
        <v>5980.53</v>
      </c>
      <c r="E9">
        <v>1915</v>
      </c>
      <c r="F9" t="s">
        <v>10</v>
      </c>
      <c r="G9">
        <v>4885.55</v>
      </c>
      <c r="H9">
        <v>-1094.98</v>
      </c>
    </row>
    <row r="10" spans="1:8" hidden="1" x14ac:dyDescent="0.25">
      <c r="A10" t="s">
        <v>16</v>
      </c>
      <c r="B10">
        <v>1917</v>
      </c>
      <c r="C10" t="s">
        <v>9</v>
      </c>
      <c r="D10">
        <v>9379.75</v>
      </c>
      <c r="E10">
        <v>1918</v>
      </c>
      <c r="F10" t="s">
        <v>10</v>
      </c>
      <c r="G10">
        <v>696.43</v>
      </c>
      <c r="H10">
        <v>-8683.32</v>
      </c>
    </row>
    <row r="11" spans="1:8" hidden="1" x14ac:dyDescent="0.25">
      <c r="A11" t="s">
        <v>14</v>
      </c>
      <c r="B11">
        <v>1918</v>
      </c>
      <c r="C11" t="s">
        <v>9</v>
      </c>
      <c r="D11">
        <v>371.43</v>
      </c>
      <c r="E11">
        <v>1919</v>
      </c>
      <c r="F11" t="s">
        <v>10</v>
      </c>
      <c r="G11">
        <v>1015.15</v>
      </c>
      <c r="H11">
        <v>643.72</v>
      </c>
    </row>
    <row r="12" spans="1:8" hidden="1" x14ac:dyDescent="0.25">
      <c r="A12" t="s">
        <v>17</v>
      </c>
      <c r="B12">
        <v>1919</v>
      </c>
      <c r="C12" t="s">
        <v>9</v>
      </c>
      <c r="D12">
        <v>4073.59</v>
      </c>
      <c r="E12">
        <v>1920</v>
      </c>
      <c r="F12" t="s">
        <v>10</v>
      </c>
      <c r="G12">
        <v>2396.1</v>
      </c>
      <c r="H12">
        <v>-1677.49</v>
      </c>
    </row>
    <row r="13" spans="1:8" hidden="1" x14ac:dyDescent="0.25">
      <c r="A13" t="s">
        <v>18</v>
      </c>
      <c r="B13">
        <v>1920</v>
      </c>
      <c r="C13" t="s">
        <v>9</v>
      </c>
      <c r="D13">
        <v>3743.59</v>
      </c>
      <c r="E13">
        <v>1921</v>
      </c>
      <c r="F13" t="s">
        <v>10</v>
      </c>
      <c r="G13">
        <v>3363.64</v>
      </c>
      <c r="H13">
        <v>-379.95</v>
      </c>
    </row>
    <row r="14" spans="1:8" hidden="1" x14ac:dyDescent="0.25">
      <c r="A14" t="s">
        <v>12</v>
      </c>
      <c r="B14">
        <v>1921</v>
      </c>
      <c r="C14" t="s">
        <v>9</v>
      </c>
      <c r="D14">
        <v>14424.05</v>
      </c>
      <c r="E14">
        <v>1922</v>
      </c>
      <c r="F14" t="s">
        <v>9</v>
      </c>
      <c r="G14">
        <v>12316.46</v>
      </c>
      <c r="H14">
        <v>-2107.59</v>
      </c>
    </row>
    <row r="15" spans="1:8" hidden="1" x14ac:dyDescent="0.25">
      <c r="A15" t="s">
        <v>12</v>
      </c>
      <c r="B15">
        <v>1922</v>
      </c>
      <c r="C15" t="s">
        <v>9</v>
      </c>
      <c r="D15">
        <v>12316.46</v>
      </c>
      <c r="E15">
        <v>1923</v>
      </c>
      <c r="F15" t="s">
        <v>10</v>
      </c>
      <c r="G15">
        <v>13090.91</v>
      </c>
      <c r="H15">
        <v>774.45</v>
      </c>
    </row>
    <row r="16" spans="1:8" hidden="1" x14ac:dyDescent="0.25">
      <c r="A16" t="s">
        <v>19</v>
      </c>
      <c r="B16">
        <v>1923</v>
      </c>
      <c r="C16" t="s">
        <v>9</v>
      </c>
      <c r="D16">
        <v>20765.79</v>
      </c>
      <c r="E16">
        <v>1924</v>
      </c>
      <c r="F16" t="s">
        <v>10</v>
      </c>
      <c r="G16">
        <v>19597.23</v>
      </c>
      <c r="H16">
        <v>-1168.56</v>
      </c>
    </row>
    <row r="17" spans="1:8" hidden="1" x14ac:dyDescent="0.25">
      <c r="A17" t="s">
        <v>20</v>
      </c>
      <c r="B17">
        <v>1924</v>
      </c>
      <c r="C17" t="s">
        <v>9</v>
      </c>
      <c r="D17">
        <v>4284.8100000000004</v>
      </c>
      <c r="E17">
        <v>1925</v>
      </c>
      <c r="F17" t="s">
        <v>10</v>
      </c>
      <c r="G17">
        <v>5631.58</v>
      </c>
      <c r="H17">
        <v>1346.77</v>
      </c>
    </row>
    <row r="18" spans="1:8" hidden="1" x14ac:dyDescent="0.25">
      <c r="A18" t="s">
        <v>21</v>
      </c>
      <c r="B18">
        <v>1925</v>
      </c>
      <c r="C18" t="s">
        <v>9</v>
      </c>
      <c r="D18">
        <v>9225.36</v>
      </c>
      <c r="E18">
        <v>1926</v>
      </c>
      <c r="F18" t="s">
        <v>10</v>
      </c>
      <c r="G18">
        <v>1734.18</v>
      </c>
      <c r="H18">
        <v>-7491.18</v>
      </c>
    </row>
    <row r="19" spans="1:8" x14ac:dyDescent="0.25">
      <c r="A19" t="s">
        <v>22</v>
      </c>
      <c r="B19">
        <v>1926</v>
      </c>
      <c r="C19" t="s">
        <v>9</v>
      </c>
      <c r="D19">
        <v>3535.18</v>
      </c>
      <c r="E19">
        <v>1927</v>
      </c>
      <c r="F19" t="s">
        <v>10</v>
      </c>
      <c r="G19">
        <v>7814.31</v>
      </c>
      <c r="H19">
        <v>4279.13</v>
      </c>
    </row>
    <row r="20" spans="1:8" hidden="1" x14ac:dyDescent="0.25">
      <c r="A20" t="s">
        <v>19</v>
      </c>
      <c r="B20">
        <v>1927</v>
      </c>
      <c r="C20" t="s">
        <v>9</v>
      </c>
      <c r="D20">
        <v>19326.509999999998</v>
      </c>
      <c r="E20">
        <v>1928</v>
      </c>
      <c r="F20" t="s">
        <v>9</v>
      </c>
      <c r="G20">
        <v>11470.97</v>
      </c>
      <c r="H20">
        <v>-7855.54</v>
      </c>
    </row>
    <row r="21" spans="1:8" hidden="1" x14ac:dyDescent="0.25">
      <c r="A21" t="s">
        <v>19</v>
      </c>
      <c r="B21">
        <v>1928</v>
      </c>
      <c r="C21" t="s">
        <v>9</v>
      </c>
      <c r="D21">
        <v>11470.97</v>
      </c>
      <c r="E21">
        <v>1929</v>
      </c>
      <c r="F21" t="s">
        <v>10</v>
      </c>
      <c r="G21">
        <v>11294.09</v>
      </c>
      <c r="H21">
        <v>-176.88</v>
      </c>
    </row>
    <row r="22" spans="1:8" hidden="1" x14ac:dyDescent="0.25">
      <c r="A22" t="s">
        <v>13</v>
      </c>
      <c r="B22">
        <v>1929</v>
      </c>
      <c r="C22" t="s">
        <v>9</v>
      </c>
      <c r="D22">
        <v>4027.03</v>
      </c>
      <c r="E22">
        <v>1930</v>
      </c>
      <c r="F22" t="s">
        <v>9</v>
      </c>
      <c r="G22">
        <v>3026.32</v>
      </c>
      <c r="H22">
        <v>-1000.71</v>
      </c>
    </row>
    <row r="23" spans="1:8" hidden="1" x14ac:dyDescent="0.25">
      <c r="A23" t="s">
        <v>13</v>
      </c>
      <c r="B23">
        <v>1930</v>
      </c>
      <c r="C23" t="s">
        <v>9</v>
      </c>
      <c r="D23">
        <v>3026.32</v>
      </c>
      <c r="E23">
        <v>1931</v>
      </c>
      <c r="F23" t="s">
        <v>10</v>
      </c>
      <c r="G23">
        <v>4853.33</v>
      </c>
      <c r="H23">
        <v>1827.01</v>
      </c>
    </row>
    <row r="24" spans="1:8" x14ac:dyDescent="0.25">
      <c r="A24" t="s">
        <v>22</v>
      </c>
      <c r="B24">
        <v>1931</v>
      </c>
      <c r="C24" t="s">
        <v>9</v>
      </c>
      <c r="D24">
        <v>5235.26</v>
      </c>
      <c r="E24">
        <v>1932</v>
      </c>
      <c r="F24" t="s">
        <v>10</v>
      </c>
      <c r="G24">
        <v>2942.56</v>
      </c>
      <c r="H24">
        <v>-2292.6999999999998</v>
      </c>
    </row>
    <row r="25" spans="1:8" hidden="1" x14ac:dyDescent="0.25">
      <c r="A25" t="s">
        <v>19</v>
      </c>
      <c r="B25">
        <v>1932</v>
      </c>
      <c r="C25" t="s">
        <v>9</v>
      </c>
      <c r="D25">
        <v>9894.23</v>
      </c>
      <c r="E25">
        <v>1933</v>
      </c>
      <c r="F25" t="s">
        <v>10</v>
      </c>
      <c r="G25">
        <v>13513.13</v>
      </c>
      <c r="H25">
        <v>3618.9</v>
      </c>
    </row>
    <row r="26" spans="1:8" hidden="1" x14ac:dyDescent="0.25">
      <c r="A26" t="s">
        <v>12</v>
      </c>
      <c r="B26">
        <v>1933</v>
      </c>
      <c r="C26" t="s">
        <v>9</v>
      </c>
      <c r="D26">
        <v>8746.75</v>
      </c>
      <c r="E26">
        <v>1934</v>
      </c>
      <c r="F26" t="s">
        <v>10</v>
      </c>
      <c r="G26">
        <v>5034.3100000000004</v>
      </c>
      <c r="H26">
        <v>-3712.44</v>
      </c>
    </row>
    <row r="27" spans="1:8" x14ac:dyDescent="0.25">
      <c r="A27" t="s">
        <v>22</v>
      </c>
      <c r="B27">
        <v>1934</v>
      </c>
      <c r="C27" t="s">
        <v>9</v>
      </c>
      <c r="D27">
        <v>2067.19</v>
      </c>
      <c r="E27">
        <v>1935</v>
      </c>
      <c r="F27" t="s">
        <v>10</v>
      </c>
      <c r="G27">
        <v>7470.62</v>
      </c>
      <c r="H27">
        <v>5403.43</v>
      </c>
    </row>
    <row r="28" spans="1:8" hidden="1" x14ac:dyDescent="0.25">
      <c r="A28" t="s">
        <v>23</v>
      </c>
      <c r="B28">
        <v>1935</v>
      </c>
      <c r="C28" t="s">
        <v>9</v>
      </c>
      <c r="D28">
        <v>8905.06</v>
      </c>
      <c r="E28">
        <v>1936</v>
      </c>
      <c r="F28" t="s">
        <v>10</v>
      </c>
      <c r="G28">
        <v>6385.71</v>
      </c>
      <c r="H28">
        <v>-2519.35</v>
      </c>
    </row>
    <row r="29" spans="1:8" hidden="1" x14ac:dyDescent="0.25">
      <c r="A29" t="s">
        <v>19</v>
      </c>
      <c r="B29">
        <v>1936</v>
      </c>
      <c r="C29" t="s">
        <v>9</v>
      </c>
      <c r="D29">
        <v>13861.84</v>
      </c>
      <c r="E29">
        <v>1937</v>
      </c>
      <c r="F29" t="s">
        <v>9</v>
      </c>
      <c r="G29">
        <v>13153.3</v>
      </c>
      <c r="H29">
        <v>-708.54</v>
      </c>
    </row>
    <row r="30" spans="1:8" hidden="1" x14ac:dyDescent="0.25">
      <c r="A30" t="s">
        <v>19</v>
      </c>
      <c r="B30">
        <v>1937</v>
      </c>
      <c r="C30" t="s">
        <v>9</v>
      </c>
      <c r="D30">
        <v>13153.3</v>
      </c>
      <c r="E30">
        <v>1938</v>
      </c>
      <c r="F30" t="s">
        <v>9</v>
      </c>
      <c r="G30">
        <v>12314.76</v>
      </c>
      <c r="H30">
        <v>-838.54</v>
      </c>
    </row>
    <row r="31" spans="1:8" hidden="1" x14ac:dyDescent="0.25">
      <c r="A31" t="s">
        <v>19</v>
      </c>
      <c r="B31">
        <v>1938</v>
      </c>
      <c r="C31" t="s">
        <v>9</v>
      </c>
      <c r="D31">
        <v>12314.76</v>
      </c>
      <c r="E31">
        <v>1939</v>
      </c>
      <c r="F31" t="s">
        <v>9</v>
      </c>
      <c r="G31">
        <v>12537.49</v>
      </c>
      <c r="H31">
        <v>222.73</v>
      </c>
    </row>
    <row r="32" spans="1:8" hidden="1" x14ac:dyDescent="0.25">
      <c r="A32" t="s">
        <v>19</v>
      </c>
      <c r="B32">
        <v>1939</v>
      </c>
      <c r="C32" t="s">
        <v>9</v>
      </c>
      <c r="D32">
        <v>12537.49</v>
      </c>
      <c r="E32">
        <v>1940</v>
      </c>
      <c r="F32" t="s">
        <v>10</v>
      </c>
      <c r="G32">
        <v>14587.16</v>
      </c>
      <c r="H32">
        <v>2049.67</v>
      </c>
    </row>
    <row r="33" spans="1:8" hidden="1" x14ac:dyDescent="0.25">
      <c r="A33" t="s">
        <v>17</v>
      </c>
      <c r="B33">
        <v>1940</v>
      </c>
      <c r="C33" t="s">
        <v>9</v>
      </c>
      <c r="D33">
        <v>11124.38</v>
      </c>
      <c r="E33">
        <v>1941</v>
      </c>
      <c r="F33" t="s">
        <v>10</v>
      </c>
      <c r="G33">
        <v>8268.81</v>
      </c>
      <c r="H33">
        <v>-2855.57</v>
      </c>
    </row>
    <row r="34" spans="1:8" hidden="1" x14ac:dyDescent="0.25">
      <c r="A34" t="s">
        <v>19</v>
      </c>
      <c r="B34">
        <v>1941</v>
      </c>
      <c r="C34" t="s">
        <v>9</v>
      </c>
      <c r="D34">
        <v>13508.69</v>
      </c>
      <c r="E34">
        <v>1942</v>
      </c>
      <c r="F34" t="s">
        <v>10</v>
      </c>
      <c r="G34">
        <v>12954.79</v>
      </c>
      <c r="H34">
        <v>-553.9</v>
      </c>
    </row>
    <row r="35" spans="1:8" x14ac:dyDescent="0.25">
      <c r="A35" t="s">
        <v>22</v>
      </c>
      <c r="B35">
        <v>1942</v>
      </c>
      <c r="C35" t="s">
        <v>9</v>
      </c>
      <c r="D35">
        <v>6832.54</v>
      </c>
      <c r="E35">
        <v>1943</v>
      </c>
      <c r="F35" t="s">
        <v>10</v>
      </c>
      <c r="G35">
        <v>6715.04</v>
      </c>
      <c r="H35">
        <v>-117.5</v>
      </c>
    </row>
    <row r="36" spans="1:8" hidden="1" x14ac:dyDescent="0.25">
      <c r="A36" t="s">
        <v>19</v>
      </c>
      <c r="B36">
        <v>1943</v>
      </c>
      <c r="C36" t="s">
        <v>9</v>
      </c>
      <c r="D36">
        <v>9039.44</v>
      </c>
      <c r="E36">
        <v>1944</v>
      </c>
      <c r="F36" t="s">
        <v>10</v>
      </c>
      <c r="G36">
        <v>13412.87</v>
      </c>
      <c r="H36">
        <v>4373.43</v>
      </c>
    </row>
    <row r="37" spans="1:8" x14ac:dyDescent="0.25">
      <c r="A37" t="s">
        <v>22</v>
      </c>
      <c r="B37">
        <v>1944</v>
      </c>
      <c r="C37" t="s">
        <v>9</v>
      </c>
      <c r="D37">
        <v>6772.88</v>
      </c>
      <c r="E37">
        <v>1945</v>
      </c>
      <c r="F37" t="s">
        <v>10</v>
      </c>
      <c r="G37">
        <v>7304.58</v>
      </c>
      <c r="H37">
        <v>531.70000000000005</v>
      </c>
    </row>
    <row r="38" spans="1:8" hidden="1" x14ac:dyDescent="0.25">
      <c r="A38" t="s">
        <v>23</v>
      </c>
      <c r="B38">
        <v>1945</v>
      </c>
      <c r="C38" t="s">
        <v>9</v>
      </c>
      <c r="D38">
        <v>16420.3</v>
      </c>
      <c r="E38">
        <v>1946</v>
      </c>
      <c r="F38" t="s">
        <v>10</v>
      </c>
      <c r="G38">
        <v>19397.560000000001</v>
      </c>
      <c r="H38">
        <v>2977.26</v>
      </c>
    </row>
    <row r="39" spans="1:8" x14ac:dyDescent="0.25">
      <c r="A39" t="s">
        <v>22</v>
      </c>
      <c r="B39">
        <v>1946</v>
      </c>
      <c r="C39" t="s">
        <v>9</v>
      </c>
      <c r="D39">
        <v>13590.86</v>
      </c>
      <c r="E39">
        <v>1947</v>
      </c>
      <c r="F39" t="s">
        <v>10</v>
      </c>
      <c r="G39">
        <v>16079.13</v>
      </c>
      <c r="H39">
        <v>2488.27</v>
      </c>
    </row>
    <row r="40" spans="1:8" hidden="1" x14ac:dyDescent="0.25">
      <c r="A40" t="s">
        <v>19</v>
      </c>
      <c r="B40">
        <v>1947</v>
      </c>
      <c r="C40" t="s">
        <v>9</v>
      </c>
      <c r="D40">
        <v>28896.23</v>
      </c>
      <c r="E40">
        <v>1948</v>
      </c>
      <c r="F40" t="s">
        <v>10</v>
      </c>
      <c r="G40">
        <v>31314.22</v>
      </c>
      <c r="H40">
        <v>2417.9899999999998</v>
      </c>
    </row>
    <row r="41" spans="1:8" hidden="1" x14ac:dyDescent="0.25">
      <c r="A41" t="s">
        <v>18</v>
      </c>
      <c r="B41">
        <v>1948</v>
      </c>
      <c r="C41" t="s">
        <v>9</v>
      </c>
      <c r="D41">
        <v>33670.76</v>
      </c>
      <c r="E41">
        <v>1949</v>
      </c>
      <c r="F41" t="s">
        <v>10</v>
      </c>
      <c r="G41">
        <v>30189.51</v>
      </c>
      <c r="H41">
        <v>-3481.25</v>
      </c>
    </row>
    <row r="42" spans="1:8" hidden="1" x14ac:dyDescent="0.25">
      <c r="A42" t="s">
        <v>19</v>
      </c>
      <c r="B42">
        <v>1949</v>
      </c>
      <c r="C42" t="s">
        <v>9</v>
      </c>
      <c r="D42">
        <v>29760.79</v>
      </c>
      <c r="E42">
        <v>1950</v>
      </c>
      <c r="F42" t="s">
        <v>9</v>
      </c>
      <c r="G42">
        <v>26063.66</v>
      </c>
      <c r="H42">
        <v>-3697.13</v>
      </c>
    </row>
    <row r="43" spans="1:8" hidden="1" x14ac:dyDescent="0.25">
      <c r="A43" t="s">
        <v>19</v>
      </c>
      <c r="B43">
        <v>1950</v>
      </c>
      <c r="C43" t="s">
        <v>9</v>
      </c>
      <c r="D43">
        <v>26063.66</v>
      </c>
      <c r="E43">
        <v>1951</v>
      </c>
      <c r="F43" t="s">
        <v>9</v>
      </c>
      <c r="G43">
        <v>24750.37</v>
      </c>
      <c r="H43">
        <v>-1313.29</v>
      </c>
    </row>
    <row r="44" spans="1:8" hidden="1" x14ac:dyDescent="0.25">
      <c r="A44" t="s">
        <v>19</v>
      </c>
      <c r="B44">
        <v>1951</v>
      </c>
      <c r="C44" t="s">
        <v>9</v>
      </c>
      <c r="D44">
        <v>24750.37</v>
      </c>
      <c r="E44">
        <v>1952</v>
      </c>
      <c r="F44" t="s">
        <v>9</v>
      </c>
      <c r="G44">
        <v>20694.79</v>
      </c>
      <c r="H44">
        <v>-4055.58</v>
      </c>
    </row>
    <row r="45" spans="1:8" hidden="1" x14ac:dyDescent="0.25">
      <c r="A45" t="s">
        <v>19</v>
      </c>
      <c r="B45">
        <v>1952</v>
      </c>
      <c r="C45" t="s">
        <v>9</v>
      </c>
      <c r="D45">
        <v>20694.79</v>
      </c>
      <c r="E45">
        <v>1953</v>
      </c>
      <c r="F45" t="s">
        <v>9</v>
      </c>
      <c r="G45">
        <v>19439.18</v>
      </c>
      <c r="H45">
        <v>-1255.6099999999999</v>
      </c>
    </row>
    <row r="46" spans="1:8" hidden="1" x14ac:dyDescent="0.25">
      <c r="A46" t="s">
        <v>19</v>
      </c>
      <c r="B46">
        <v>1953</v>
      </c>
      <c r="C46" t="s">
        <v>9</v>
      </c>
      <c r="D46">
        <v>19439.18</v>
      </c>
      <c r="E46">
        <v>1954</v>
      </c>
      <c r="F46" t="s">
        <v>10</v>
      </c>
      <c r="G46">
        <v>18910.91</v>
      </c>
      <c r="H46">
        <v>-528.27</v>
      </c>
    </row>
    <row r="47" spans="1:8" hidden="1" x14ac:dyDescent="0.25">
      <c r="A47" t="s">
        <v>12</v>
      </c>
      <c r="B47">
        <v>1954</v>
      </c>
      <c r="C47" t="s">
        <v>9</v>
      </c>
      <c r="D47">
        <v>15329.88</v>
      </c>
      <c r="E47">
        <v>1955</v>
      </c>
      <c r="F47" t="s">
        <v>10</v>
      </c>
      <c r="G47">
        <v>10445.59</v>
      </c>
      <c r="H47">
        <v>-4884.29</v>
      </c>
    </row>
    <row r="48" spans="1:8" hidden="1" x14ac:dyDescent="0.25">
      <c r="A48" t="s">
        <v>24</v>
      </c>
      <c r="B48">
        <v>1955</v>
      </c>
      <c r="C48" t="s">
        <v>9</v>
      </c>
      <c r="D48">
        <v>13266.09</v>
      </c>
      <c r="E48">
        <v>1956</v>
      </c>
      <c r="F48" t="s">
        <v>10</v>
      </c>
      <c r="G48">
        <v>16066.92</v>
      </c>
      <c r="H48">
        <v>2800.83</v>
      </c>
    </row>
    <row r="49" spans="1:8" hidden="1" x14ac:dyDescent="0.25">
      <c r="A49" t="s">
        <v>19</v>
      </c>
      <c r="B49">
        <v>1956</v>
      </c>
      <c r="C49" t="s">
        <v>9</v>
      </c>
      <c r="D49">
        <v>21212.74</v>
      </c>
      <c r="E49">
        <v>1957</v>
      </c>
      <c r="F49" t="s">
        <v>10</v>
      </c>
      <c r="G49">
        <v>19517.95</v>
      </c>
      <c r="H49">
        <v>-1694.79</v>
      </c>
    </row>
    <row r="50" spans="1:8" hidden="1" x14ac:dyDescent="0.25">
      <c r="A50" t="s">
        <v>25</v>
      </c>
      <c r="B50">
        <v>1957</v>
      </c>
      <c r="C50" t="s">
        <v>9</v>
      </c>
      <c r="D50">
        <v>28397.96</v>
      </c>
      <c r="E50">
        <v>1958</v>
      </c>
      <c r="F50" t="s">
        <v>10</v>
      </c>
      <c r="G50">
        <v>25361.08</v>
      </c>
      <c r="H50">
        <v>-3036.88</v>
      </c>
    </row>
    <row r="51" spans="1:8" hidden="1" x14ac:dyDescent="0.25">
      <c r="A51" t="s">
        <v>19</v>
      </c>
      <c r="B51">
        <v>1958</v>
      </c>
      <c r="C51" t="s">
        <v>9</v>
      </c>
      <c r="D51">
        <v>17901.04</v>
      </c>
      <c r="E51">
        <v>1959</v>
      </c>
      <c r="F51" t="s">
        <v>10</v>
      </c>
      <c r="G51">
        <v>21576.65</v>
      </c>
      <c r="H51">
        <v>3675.61</v>
      </c>
    </row>
    <row r="52" spans="1:8" hidden="1" x14ac:dyDescent="0.25">
      <c r="A52" t="s">
        <v>26</v>
      </c>
      <c r="B52">
        <v>1959</v>
      </c>
      <c r="C52" t="s">
        <v>9</v>
      </c>
      <c r="D52">
        <v>26711.85</v>
      </c>
      <c r="E52">
        <v>1960</v>
      </c>
      <c r="F52" t="s">
        <v>10</v>
      </c>
      <c r="G52">
        <v>29467.38</v>
      </c>
      <c r="H52">
        <v>2755.53</v>
      </c>
    </row>
    <row r="53" spans="1:8" hidden="1" x14ac:dyDescent="0.25">
      <c r="A53" t="s">
        <v>21</v>
      </c>
      <c r="B53">
        <v>1960</v>
      </c>
      <c r="C53" t="s">
        <v>9</v>
      </c>
      <c r="D53">
        <v>21885.759999999998</v>
      </c>
      <c r="E53">
        <v>1961</v>
      </c>
      <c r="F53" t="s">
        <v>10</v>
      </c>
      <c r="G53">
        <v>15574</v>
      </c>
      <c r="H53">
        <v>-6311.76</v>
      </c>
    </row>
    <row r="54" spans="1:8" hidden="1" x14ac:dyDescent="0.25">
      <c r="A54" t="s">
        <v>19</v>
      </c>
      <c r="B54">
        <v>1961</v>
      </c>
      <c r="C54" t="s">
        <v>9</v>
      </c>
      <c r="D54">
        <v>21576.86</v>
      </c>
      <c r="E54">
        <v>1962</v>
      </c>
      <c r="F54" t="s">
        <v>9</v>
      </c>
      <c r="G54">
        <v>20079.060000000001</v>
      </c>
      <c r="H54">
        <v>-1497.8</v>
      </c>
    </row>
    <row r="55" spans="1:8" hidden="1" x14ac:dyDescent="0.25">
      <c r="A55" t="s">
        <v>19</v>
      </c>
      <c r="B55">
        <v>1962</v>
      </c>
      <c r="C55" t="s">
        <v>9</v>
      </c>
      <c r="D55">
        <v>20079.060000000001</v>
      </c>
      <c r="E55">
        <v>1963</v>
      </c>
      <c r="F55" t="s">
        <v>10</v>
      </c>
      <c r="G55">
        <v>18256.71</v>
      </c>
      <c r="H55">
        <v>-1822.35</v>
      </c>
    </row>
    <row r="56" spans="1:8" hidden="1" x14ac:dyDescent="0.25">
      <c r="A56" t="s">
        <v>26</v>
      </c>
      <c r="B56">
        <v>1963</v>
      </c>
      <c r="C56" t="s">
        <v>9</v>
      </c>
      <c r="D56">
        <v>31341.47</v>
      </c>
      <c r="E56">
        <v>1964</v>
      </c>
      <c r="F56" t="s">
        <v>10</v>
      </c>
      <c r="G56">
        <v>27586.400000000001</v>
      </c>
      <c r="H56">
        <v>-3755.07</v>
      </c>
    </row>
    <row r="57" spans="1:8" x14ac:dyDescent="0.25">
      <c r="A57" t="s">
        <v>22</v>
      </c>
      <c r="B57">
        <v>1964</v>
      </c>
      <c r="C57" t="s">
        <v>9</v>
      </c>
      <c r="D57">
        <v>14107</v>
      </c>
      <c r="E57">
        <v>1965</v>
      </c>
      <c r="F57" t="s">
        <v>10</v>
      </c>
      <c r="G57">
        <v>15245.57</v>
      </c>
      <c r="H57">
        <v>1138.57</v>
      </c>
    </row>
    <row r="58" spans="1:8" hidden="1" x14ac:dyDescent="0.25">
      <c r="A58" t="s">
        <v>26</v>
      </c>
      <c r="B58">
        <v>1965</v>
      </c>
      <c r="C58" t="s">
        <v>9</v>
      </c>
      <c r="D58">
        <v>31612.94</v>
      </c>
      <c r="E58">
        <v>1966</v>
      </c>
      <c r="F58" t="s">
        <v>10</v>
      </c>
      <c r="G58">
        <v>32309.33</v>
      </c>
      <c r="H58">
        <v>696.39</v>
      </c>
    </row>
    <row r="59" spans="1:8" hidden="1" x14ac:dyDescent="0.25">
      <c r="A59" t="s">
        <v>27</v>
      </c>
      <c r="B59">
        <v>1966</v>
      </c>
      <c r="C59" t="s">
        <v>9</v>
      </c>
      <c r="D59">
        <v>15233.22</v>
      </c>
      <c r="E59">
        <v>1967</v>
      </c>
      <c r="F59" t="s">
        <v>10</v>
      </c>
      <c r="G59">
        <v>11102.62</v>
      </c>
      <c r="H59">
        <v>-4130.6000000000004</v>
      </c>
    </row>
    <row r="60" spans="1:8" x14ac:dyDescent="0.25">
      <c r="A60" t="s">
        <v>22</v>
      </c>
      <c r="B60">
        <v>1967</v>
      </c>
      <c r="C60" t="s">
        <v>9</v>
      </c>
      <c r="D60">
        <v>25798.09</v>
      </c>
      <c r="E60">
        <v>1968</v>
      </c>
      <c r="F60" t="s">
        <v>10</v>
      </c>
      <c r="G60">
        <v>24834.16</v>
      </c>
      <c r="H60">
        <v>-963.93</v>
      </c>
    </row>
    <row r="61" spans="1:8" hidden="1" x14ac:dyDescent="0.25">
      <c r="A61" t="s">
        <v>23</v>
      </c>
      <c r="B61">
        <v>1968</v>
      </c>
      <c r="C61" t="s">
        <v>9</v>
      </c>
      <c r="D61">
        <v>25089.59</v>
      </c>
      <c r="E61">
        <v>1969</v>
      </c>
      <c r="F61" t="s">
        <v>10</v>
      </c>
      <c r="G61">
        <v>19556.330000000002</v>
      </c>
      <c r="H61">
        <v>-5533.26</v>
      </c>
    </row>
    <row r="62" spans="1:8" hidden="1" x14ac:dyDescent="0.25">
      <c r="A62" t="s">
        <v>28</v>
      </c>
      <c r="B62">
        <v>1969</v>
      </c>
      <c r="C62" t="s">
        <v>9</v>
      </c>
      <c r="D62">
        <v>26732.82</v>
      </c>
      <c r="E62">
        <v>1970</v>
      </c>
      <c r="F62" t="s">
        <v>10</v>
      </c>
      <c r="G62">
        <v>32895.800000000003</v>
      </c>
      <c r="H62">
        <v>6162.98</v>
      </c>
    </row>
    <row r="63" spans="1:8" hidden="1" x14ac:dyDescent="0.25">
      <c r="A63" t="s">
        <v>27</v>
      </c>
      <c r="B63">
        <v>1970</v>
      </c>
      <c r="C63" t="s">
        <v>9</v>
      </c>
      <c r="D63">
        <v>12690.17</v>
      </c>
      <c r="E63">
        <v>1971</v>
      </c>
      <c r="F63" t="s">
        <v>10</v>
      </c>
      <c r="G63">
        <v>13416.04</v>
      </c>
      <c r="H63">
        <v>725.87</v>
      </c>
    </row>
    <row r="64" spans="1:8" hidden="1" x14ac:dyDescent="0.25">
      <c r="A64" t="s">
        <v>21</v>
      </c>
      <c r="B64">
        <v>1971</v>
      </c>
      <c r="C64" t="s">
        <v>9</v>
      </c>
      <c r="D64">
        <v>19254.599999999999</v>
      </c>
      <c r="E64">
        <v>1972</v>
      </c>
      <c r="F64" t="s">
        <v>10</v>
      </c>
      <c r="G64">
        <v>19499.599999999999</v>
      </c>
      <c r="H64">
        <v>245</v>
      </c>
    </row>
    <row r="65" spans="1:8" hidden="1" x14ac:dyDescent="0.25">
      <c r="A65" t="s">
        <v>29</v>
      </c>
      <c r="B65">
        <v>1972</v>
      </c>
      <c r="C65" t="s">
        <v>9</v>
      </c>
      <c r="D65">
        <v>12046.03</v>
      </c>
      <c r="E65">
        <v>1973</v>
      </c>
      <c r="F65" t="s">
        <v>9</v>
      </c>
      <c r="G65">
        <v>12346.23</v>
      </c>
      <c r="H65">
        <v>300.2</v>
      </c>
    </row>
    <row r="66" spans="1:8" hidden="1" x14ac:dyDescent="0.25">
      <c r="A66" t="s">
        <v>29</v>
      </c>
      <c r="B66">
        <v>1973</v>
      </c>
      <c r="C66" t="s">
        <v>9</v>
      </c>
      <c r="D66">
        <v>12346.23</v>
      </c>
      <c r="E66">
        <v>1974</v>
      </c>
      <c r="F66" t="s">
        <v>9</v>
      </c>
      <c r="G66">
        <v>10329.16</v>
      </c>
      <c r="H66">
        <v>-2017.07</v>
      </c>
    </row>
    <row r="67" spans="1:8" hidden="1" x14ac:dyDescent="0.25">
      <c r="A67" t="s">
        <v>29</v>
      </c>
      <c r="B67">
        <v>1974</v>
      </c>
      <c r="C67" t="s">
        <v>9</v>
      </c>
      <c r="D67">
        <v>10329.16</v>
      </c>
      <c r="E67">
        <v>1975</v>
      </c>
      <c r="F67" t="s">
        <v>10</v>
      </c>
      <c r="G67">
        <v>13303.67</v>
      </c>
      <c r="H67">
        <v>2974.51</v>
      </c>
    </row>
    <row r="68" spans="1:8" hidden="1" x14ac:dyDescent="0.25">
      <c r="A68" t="s">
        <v>17</v>
      </c>
      <c r="B68">
        <v>1975</v>
      </c>
      <c r="C68" t="s">
        <v>9</v>
      </c>
      <c r="D68">
        <v>28587.69</v>
      </c>
      <c r="E68">
        <v>1976</v>
      </c>
      <c r="F68" t="s">
        <v>9</v>
      </c>
      <c r="G68">
        <v>32465.53</v>
      </c>
      <c r="H68">
        <v>3877.84</v>
      </c>
    </row>
    <row r="69" spans="1:8" hidden="1" x14ac:dyDescent="0.25">
      <c r="A69" t="s">
        <v>17</v>
      </c>
      <c r="B69">
        <v>1976</v>
      </c>
      <c r="C69" t="s">
        <v>9</v>
      </c>
      <c r="D69">
        <v>32465.53</v>
      </c>
      <c r="E69">
        <v>1977</v>
      </c>
      <c r="F69" t="s">
        <v>10</v>
      </c>
      <c r="G69">
        <v>31185.57</v>
      </c>
      <c r="H69">
        <v>-1279.96</v>
      </c>
    </row>
    <row r="70" spans="1:8" hidden="1" x14ac:dyDescent="0.25">
      <c r="A70" t="s">
        <v>19</v>
      </c>
      <c r="B70">
        <v>1977</v>
      </c>
      <c r="C70" t="s">
        <v>9</v>
      </c>
      <c r="D70">
        <v>28592.880000000001</v>
      </c>
      <c r="E70">
        <v>1978</v>
      </c>
      <c r="F70" t="s">
        <v>9</v>
      </c>
      <c r="G70">
        <v>29930.85</v>
      </c>
      <c r="H70">
        <v>1337.97</v>
      </c>
    </row>
    <row r="71" spans="1:8" hidden="1" x14ac:dyDescent="0.25">
      <c r="A71" t="s">
        <v>19</v>
      </c>
      <c r="B71">
        <v>1978</v>
      </c>
      <c r="C71" t="s">
        <v>9</v>
      </c>
      <c r="D71">
        <v>29930.85</v>
      </c>
      <c r="E71">
        <v>1979</v>
      </c>
      <c r="F71" t="s">
        <v>10</v>
      </c>
      <c r="G71">
        <v>31405.53</v>
      </c>
      <c r="H71">
        <v>1474.68</v>
      </c>
    </row>
    <row r="72" spans="1:8" hidden="1" x14ac:dyDescent="0.25">
      <c r="A72" t="s">
        <v>21</v>
      </c>
      <c r="B72">
        <v>1979</v>
      </c>
      <c r="C72" t="s">
        <v>9</v>
      </c>
      <c r="D72">
        <v>17721.32</v>
      </c>
      <c r="E72">
        <v>1980</v>
      </c>
      <c r="F72" t="s">
        <v>10</v>
      </c>
      <c r="G72">
        <v>20268.599999999999</v>
      </c>
      <c r="H72">
        <v>2547.2800000000002</v>
      </c>
    </row>
    <row r="73" spans="1:8" hidden="1" x14ac:dyDescent="0.25">
      <c r="A73" t="s">
        <v>30</v>
      </c>
      <c r="B73">
        <v>1980</v>
      </c>
      <c r="C73" t="s">
        <v>9</v>
      </c>
      <c r="D73">
        <v>32826.629999999997</v>
      </c>
      <c r="E73">
        <v>1981</v>
      </c>
      <c r="F73" t="s">
        <v>10</v>
      </c>
      <c r="G73">
        <v>29798.44</v>
      </c>
      <c r="H73">
        <v>-3028.19</v>
      </c>
    </row>
    <row r="74" spans="1:8" hidden="1" x14ac:dyDescent="0.25">
      <c r="A74" t="s">
        <v>26</v>
      </c>
      <c r="B74">
        <v>1981</v>
      </c>
      <c r="C74" t="s">
        <v>9</v>
      </c>
      <c r="D74">
        <v>42546.05</v>
      </c>
      <c r="E74">
        <v>1982</v>
      </c>
      <c r="F74" t="s">
        <v>10</v>
      </c>
      <c r="G74">
        <v>44554.09</v>
      </c>
      <c r="H74">
        <v>2008.04</v>
      </c>
    </row>
    <row r="75" spans="1:8" x14ac:dyDescent="0.25">
      <c r="A75" t="s">
        <v>22</v>
      </c>
      <c r="B75">
        <v>1982</v>
      </c>
      <c r="C75" t="s">
        <v>9</v>
      </c>
      <c r="D75">
        <v>26073.11</v>
      </c>
      <c r="E75">
        <v>1983</v>
      </c>
      <c r="F75" t="s">
        <v>10</v>
      </c>
      <c r="G75">
        <v>28934.19</v>
      </c>
      <c r="H75">
        <v>2861.08</v>
      </c>
    </row>
    <row r="76" spans="1:8" hidden="1" x14ac:dyDescent="0.25">
      <c r="A76" t="s">
        <v>27</v>
      </c>
      <c r="B76">
        <v>1983</v>
      </c>
      <c r="C76" t="s">
        <v>9</v>
      </c>
      <c r="D76">
        <v>25140.7</v>
      </c>
      <c r="E76">
        <v>1984</v>
      </c>
      <c r="F76" t="s">
        <v>10</v>
      </c>
      <c r="G76">
        <v>25150.69</v>
      </c>
      <c r="H76">
        <v>9.99</v>
      </c>
    </row>
    <row r="77" spans="1:8" hidden="1" x14ac:dyDescent="0.25">
      <c r="A77" t="s">
        <v>23</v>
      </c>
      <c r="B77">
        <v>1984</v>
      </c>
      <c r="C77" t="s">
        <v>9</v>
      </c>
      <c r="D77">
        <v>32985.29</v>
      </c>
      <c r="E77">
        <v>1985</v>
      </c>
      <c r="F77" t="s">
        <v>10</v>
      </c>
      <c r="G77">
        <v>28229.75</v>
      </c>
      <c r="H77">
        <v>-4755.54</v>
      </c>
    </row>
    <row r="78" spans="1:8" hidden="1" x14ac:dyDescent="0.25">
      <c r="A78" t="s">
        <v>31</v>
      </c>
      <c r="B78">
        <v>1985</v>
      </c>
      <c r="C78" t="s">
        <v>9</v>
      </c>
      <c r="D78">
        <v>26374.57</v>
      </c>
      <c r="E78">
        <v>1986</v>
      </c>
      <c r="F78" t="s">
        <v>10</v>
      </c>
      <c r="G78">
        <v>28651.41</v>
      </c>
      <c r="H78">
        <v>2276.84</v>
      </c>
    </row>
    <row r="79" spans="1:8" hidden="1" x14ac:dyDescent="0.25">
      <c r="A79" t="s">
        <v>28</v>
      </c>
      <c r="B79">
        <v>1986</v>
      </c>
      <c r="C79" t="s">
        <v>9</v>
      </c>
      <c r="D79">
        <v>34103.910000000003</v>
      </c>
      <c r="E79">
        <v>1987</v>
      </c>
      <c r="F79" t="s">
        <v>10</v>
      </c>
      <c r="G79">
        <v>37371.86</v>
      </c>
      <c r="H79">
        <v>3267.95</v>
      </c>
    </row>
    <row r="80" spans="1:8" hidden="1" x14ac:dyDescent="0.25">
      <c r="A80" t="s">
        <v>32</v>
      </c>
      <c r="B80">
        <v>1987</v>
      </c>
      <c r="C80" t="s">
        <v>9</v>
      </c>
      <c r="D80">
        <v>25706.21</v>
      </c>
      <c r="E80">
        <v>1988</v>
      </c>
      <c r="F80" t="s">
        <v>10</v>
      </c>
      <c r="G80">
        <v>37407.4</v>
      </c>
      <c r="H80">
        <v>11701.19</v>
      </c>
    </row>
    <row r="81" spans="1:8" hidden="1" x14ac:dyDescent="0.25">
      <c r="A81" t="s">
        <v>26</v>
      </c>
      <c r="B81">
        <v>1988</v>
      </c>
      <c r="C81" t="s">
        <v>9</v>
      </c>
      <c r="D81">
        <v>36793.360000000001</v>
      </c>
      <c r="E81">
        <v>1989</v>
      </c>
      <c r="F81" t="s">
        <v>10</v>
      </c>
      <c r="G81">
        <v>36343.620000000003</v>
      </c>
      <c r="H81">
        <v>-449.74</v>
      </c>
    </row>
    <row r="82" spans="1:8" hidden="1" x14ac:dyDescent="0.25">
      <c r="A82" t="s">
        <v>29</v>
      </c>
      <c r="B82">
        <v>1989</v>
      </c>
      <c r="C82" t="s">
        <v>9</v>
      </c>
      <c r="D82">
        <v>32983.22</v>
      </c>
      <c r="E82">
        <v>1990</v>
      </c>
      <c r="F82" t="s">
        <v>10</v>
      </c>
      <c r="G82">
        <v>35842.01</v>
      </c>
      <c r="H82">
        <v>2858.79</v>
      </c>
    </row>
    <row r="83" spans="1:8" hidden="1" x14ac:dyDescent="0.25">
      <c r="A83" t="s">
        <v>17</v>
      </c>
      <c r="B83">
        <v>1990</v>
      </c>
      <c r="C83" t="s">
        <v>9</v>
      </c>
      <c r="D83">
        <v>29723</v>
      </c>
      <c r="E83">
        <v>1991</v>
      </c>
      <c r="F83" t="s">
        <v>10</v>
      </c>
      <c r="G83">
        <v>29288.6</v>
      </c>
      <c r="H83">
        <v>-434.4</v>
      </c>
    </row>
    <row r="84" spans="1:8" hidden="1" x14ac:dyDescent="0.25">
      <c r="A84" t="s">
        <v>32</v>
      </c>
      <c r="B84">
        <v>1991</v>
      </c>
      <c r="C84" t="s">
        <v>9</v>
      </c>
      <c r="D84">
        <v>28319.040000000001</v>
      </c>
      <c r="E84">
        <v>1992</v>
      </c>
      <c r="F84" t="s">
        <v>10</v>
      </c>
      <c r="G84">
        <v>30644.3</v>
      </c>
      <c r="H84">
        <v>2325.2600000000002</v>
      </c>
    </row>
    <row r="85" spans="1:8" hidden="1" x14ac:dyDescent="0.25">
      <c r="A85" t="s">
        <v>33</v>
      </c>
      <c r="B85">
        <v>1992</v>
      </c>
      <c r="C85" t="s">
        <v>9</v>
      </c>
      <c r="D85">
        <v>49732.32</v>
      </c>
      <c r="E85">
        <v>1993</v>
      </c>
      <c r="F85" t="s">
        <v>9</v>
      </c>
      <c r="G85">
        <v>50095.64</v>
      </c>
      <c r="H85">
        <v>363.32</v>
      </c>
    </row>
    <row r="86" spans="1:8" hidden="1" x14ac:dyDescent="0.25">
      <c r="A86" t="s">
        <v>33</v>
      </c>
      <c r="B86">
        <v>1993</v>
      </c>
      <c r="C86" t="s">
        <v>9</v>
      </c>
      <c r="D86">
        <v>50095.64</v>
      </c>
      <c r="E86">
        <v>1994</v>
      </c>
      <c r="F86" t="s">
        <v>34</v>
      </c>
      <c r="G86">
        <v>49287.27</v>
      </c>
      <c r="H86">
        <v>-808.37</v>
      </c>
    </row>
    <row r="87" spans="1:8" hidden="1" x14ac:dyDescent="0.25">
      <c r="A87" t="s">
        <v>35</v>
      </c>
      <c r="B87">
        <v>1995</v>
      </c>
      <c r="C87" t="s">
        <v>9</v>
      </c>
      <c r="D87">
        <v>35617.94</v>
      </c>
      <c r="E87">
        <v>1996</v>
      </c>
      <c r="F87" t="s">
        <v>10</v>
      </c>
      <c r="G87">
        <v>35787.730000000003</v>
      </c>
      <c r="H87">
        <v>169.79</v>
      </c>
    </row>
    <row r="88" spans="1:8" hidden="1" x14ac:dyDescent="0.25">
      <c r="A88" t="s">
        <v>19</v>
      </c>
      <c r="B88">
        <v>1996</v>
      </c>
      <c r="C88" t="s">
        <v>9</v>
      </c>
      <c r="D88">
        <v>28188.14</v>
      </c>
      <c r="E88">
        <v>1997</v>
      </c>
      <c r="F88" t="s">
        <v>10</v>
      </c>
      <c r="G88">
        <v>32263.040000000001</v>
      </c>
      <c r="H88">
        <v>4074.9</v>
      </c>
    </row>
    <row r="89" spans="1:8" hidden="1" x14ac:dyDescent="0.25">
      <c r="A89" t="s">
        <v>36</v>
      </c>
      <c r="B89">
        <v>1997</v>
      </c>
      <c r="C89" t="s">
        <v>9</v>
      </c>
      <c r="D89">
        <v>29044.04</v>
      </c>
      <c r="E89">
        <v>1998</v>
      </c>
      <c r="F89" t="s">
        <v>10</v>
      </c>
      <c r="G89">
        <v>21609.81</v>
      </c>
      <c r="H89">
        <v>-7434.23</v>
      </c>
    </row>
    <row r="90" spans="1:8" hidden="1" x14ac:dyDescent="0.25">
      <c r="A90" t="s">
        <v>19</v>
      </c>
      <c r="B90">
        <v>1998</v>
      </c>
      <c r="C90" t="s">
        <v>9</v>
      </c>
      <c r="D90">
        <v>36416.47</v>
      </c>
      <c r="E90">
        <v>1999</v>
      </c>
      <c r="F90" t="s">
        <v>9</v>
      </c>
      <c r="G90">
        <v>40657.519999999997</v>
      </c>
      <c r="H90">
        <v>4241.05</v>
      </c>
    </row>
    <row r="91" spans="1:8" hidden="1" x14ac:dyDescent="0.25">
      <c r="A91" t="s">
        <v>19</v>
      </c>
      <c r="B91">
        <v>1999</v>
      </c>
      <c r="C91" t="s">
        <v>9</v>
      </c>
      <c r="D91">
        <v>40657.519999999997</v>
      </c>
      <c r="E91">
        <v>2000</v>
      </c>
      <c r="F91" t="s">
        <v>9</v>
      </c>
      <c r="G91">
        <v>40345.71</v>
      </c>
      <c r="H91">
        <v>-311.81</v>
      </c>
    </row>
    <row r="92" spans="1:8" hidden="1" x14ac:dyDescent="0.25">
      <c r="A92" t="s">
        <v>19</v>
      </c>
      <c r="B92">
        <v>2000</v>
      </c>
      <c r="C92" t="s">
        <v>9</v>
      </c>
      <c r="D92">
        <v>40345.71</v>
      </c>
      <c r="E92">
        <v>2001</v>
      </c>
      <c r="F92" t="s">
        <v>10</v>
      </c>
      <c r="G92">
        <v>40810.589999999997</v>
      </c>
      <c r="H92">
        <v>464.88</v>
      </c>
    </row>
    <row r="93" spans="1:8" hidden="1" x14ac:dyDescent="0.25">
      <c r="A93" t="s">
        <v>37</v>
      </c>
      <c r="B93">
        <v>2001</v>
      </c>
      <c r="C93" t="s">
        <v>9</v>
      </c>
      <c r="D93">
        <v>33775.57</v>
      </c>
      <c r="E93">
        <v>2002</v>
      </c>
      <c r="F93" t="s">
        <v>10</v>
      </c>
      <c r="G93">
        <v>39493.519999999997</v>
      </c>
      <c r="H93">
        <v>5717.95</v>
      </c>
    </row>
    <row r="94" spans="1:8" hidden="1" x14ac:dyDescent="0.25">
      <c r="A94" t="s">
        <v>38</v>
      </c>
      <c r="B94">
        <v>2002</v>
      </c>
      <c r="C94" t="s">
        <v>9</v>
      </c>
      <c r="D94">
        <v>28462.560000000001</v>
      </c>
      <c r="E94">
        <v>2003</v>
      </c>
      <c r="F94" t="s">
        <v>10</v>
      </c>
      <c r="G94">
        <v>37330.410000000003</v>
      </c>
      <c r="H94">
        <v>8867.85</v>
      </c>
    </row>
    <row r="95" spans="1:8" hidden="1" x14ac:dyDescent="0.25">
      <c r="A95" t="s">
        <v>36</v>
      </c>
      <c r="B95">
        <v>2003</v>
      </c>
      <c r="C95" t="s">
        <v>9</v>
      </c>
      <c r="D95">
        <v>16089.06</v>
      </c>
      <c r="E95">
        <v>2004</v>
      </c>
      <c r="F95" t="s">
        <v>10</v>
      </c>
      <c r="G95">
        <v>21538.81</v>
      </c>
      <c r="H95">
        <v>5449.75</v>
      </c>
    </row>
    <row r="96" spans="1:8" hidden="1" x14ac:dyDescent="0.25">
      <c r="A96" t="s">
        <v>14</v>
      </c>
      <c r="B96">
        <v>2004</v>
      </c>
      <c r="C96" t="s">
        <v>9</v>
      </c>
      <c r="D96">
        <v>35028.44</v>
      </c>
      <c r="E96">
        <v>2005</v>
      </c>
      <c r="F96" t="s">
        <v>10</v>
      </c>
      <c r="G96">
        <v>35158</v>
      </c>
      <c r="H96">
        <v>129.56</v>
      </c>
    </row>
    <row r="97" spans="1:8" hidden="1" x14ac:dyDescent="0.25">
      <c r="A97" t="s">
        <v>16</v>
      </c>
      <c r="B97">
        <v>2005</v>
      </c>
      <c r="C97" t="s">
        <v>9</v>
      </c>
      <c r="D97">
        <v>28923.88</v>
      </c>
      <c r="E97">
        <v>2006</v>
      </c>
      <c r="F97" t="s">
        <v>10</v>
      </c>
      <c r="G97">
        <v>36511.279999999999</v>
      </c>
      <c r="H97">
        <v>7587.4</v>
      </c>
    </row>
    <row r="98" spans="1:8" x14ac:dyDescent="0.25">
      <c r="A98" t="s">
        <v>22</v>
      </c>
      <c r="B98">
        <v>2006</v>
      </c>
      <c r="C98" t="s">
        <v>9</v>
      </c>
      <c r="D98">
        <v>42588.800000000003</v>
      </c>
      <c r="E98">
        <v>2007</v>
      </c>
      <c r="F98" t="s">
        <v>10</v>
      </c>
      <c r="G98">
        <v>43854.07</v>
      </c>
      <c r="H98">
        <v>1265.27</v>
      </c>
    </row>
    <row r="99" spans="1:8" hidden="1" x14ac:dyDescent="0.25">
      <c r="A99" t="s">
        <v>14</v>
      </c>
      <c r="B99">
        <v>2007</v>
      </c>
      <c r="C99" t="s">
        <v>9</v>
      </c>
      <c r="D99">
        <v>36675.99</v>
      </c>
      <c r="E99">
        <v>2008</v>
      </c>
      <c r="F99" t="s">
        <v>10</v>
      </c>
      <c r="G99">
        <v>37632.720000000001</v>
      </c>
      <c r="H99">
        <v>956.73</v>
      </c>
    </row>
    <row r="100" spans="1:8" hidden="1" x14ac:dyDescent="0.25">
      <c r="A100" t="s">
        <v>30</v>
      </c>
      <c r="B100">
        <v>2008</v>
      </c>
      <c r="C100" t="s">
        <v>9</v>
      </c>
      <c r="D100">
        <v>42254.11</v>
      </c>
      <c r="E100">
        <v>2009</v>
      </c>
      <c r="F100" t="s">
        <v>10</v>
      </c>
      <c r="G100">
        <v>44453</v>
      </c>
      <c r="H100">
        <v>2198.89</v>
      </c>
    </row>
    <row r="101" spans="1:8" hidden="1" x14ac:dyDescent="0.25">
      <c r="A101" t="s">
        <v>19</v>
      </c>
      <c r="B101">
        <v>2009</v>
      </c>
      <c r="C101" t="s">
        <v>9</v>
      </c>
      <c r="D101">
        <v>45918</v>
      </c>
      <c r="E101">
        <v>2010</v>
      </c>
      <c r="F101" t="s">
        <v>10</v>
      </c>
      <c r="G101">
        <v>46491.44</v>
      </c>
      <c r="H101">
        <v>573.44000000000005</v>
      </c>
    </row>
    <row r="102" spans="1:8" hidden="1" x14ac:dyDescent="0.25">
      <c r="A102" t="s">
        <v>39</v>
      </c>
      <c r="B102">
        <v>2010</v>
      </c>
      <c r="C102" t="s">
        <v>9</v>
      </c>
      <c r="D102">
        <v>37497.120000000003</v>
      </c>
      <c r="E102">
        <v>2011</v>
      </c>
      <c r="F102" t="s">
        <v>10</v>
      </c>
      <c r="G102">
        <v>41818.559999999998</v>
      </c>
      <c r="H102">
        <v>4321.4399999999996</v>
      </c>
    </row>
    <row r="103" spans="1:8" x14ac:dyDescent="0.25">
      <c r="A103" t="s">
        <v>22</v>
      </c>
      <c r="B103">
        <v>2011</v>
      </c>
      <c r="C103" t="s">
        <v>9</v>
      </c>
      <c r="D103">
        <v>38196.959999999999</v>
      </c>
      <c r="E103">
        <v>2012</v>
      </c>
      <c r="F103" t="s">
        <v>10</v>
      </c>
      <c r="G103">
        <v>40272.949999999997</v>
      </c>
      <c r="H103">
        <v>2075.9899999999998</v>
      </c>
    </row>
    <row r="104" spans="1:8" hidden="1" x14ac:dyDescent="0.25">
      <c r="A104" t="s">
        <v>39</v>
      </c>
      <c r="B104">
        <v>2012</v>
      </c>
      <c r="C104" t="s">
        <v>9</v>
      </c>
      <c r="D104">
        <v>41695.94</v>
      </c>
      <c r="E104">
        <v>2013</v>
      </c>
      <c r="F104" t="s">
        <v>10</v>
      </c>
      <c r="G104">
        <v>41071.56</v>
      </c>
      <c r="H104">
        <v>-624.38</v>
      </c>
    </row>
    <row r="105" spans="1:8" hidden="1" x14ac:dyDescent="0.25">
      <c r="A105" t="s">
        <v>14</v>
      </c>
      <c r="B105">
        <v>2013</v>
      </c>
      <c r="C105" t="s">
        <v>9</v>
      </c>
      <c r="D105">
        <v>34979.42</v>
      </c>
      <c r="E105">
        <v>2014</v>
      </c>
      <c r="F105" t="s">
        <v>10</v>
      </c>
      <c r="G105">
        <v>36494.93</v>
      </c>
      <c r="H105">
        <v>1515.51</v>
      </c>
    </row>
    <row r="106" spans="1:8" hidden="1" x14ac:dyDescent="0.25">
      <c r="A106" t="s">
        <v>39</v>
      </c>
      <c r="B106">
        <v>2014</v>
      </c>
      <c r="C106" t="s">
        <v>9</v>
      </c>
      <c r="D106">
        <v>41588.85</v>
      </c>
      <c r="E106">
        <v>2015</v>
      </c>
      <c r="F106" t="s">
        <v>10</v>
      </c>
      <c r="G106">
        <v>41677.56</v>
      </c>
      <c r="H106">
        <v>88.71</v>
      </c>
    </row>
    <row r="107" spans="1:8" hidden="1" x14ac:dyDescent="0.25">
      <c r="A107" t="s">
        <v>31</v>
      </c>
      <c r="B107">
        <v>2015</v>
      </c>
      <c r="C107" t="s">
        <v>9</v>
      </c>
      <c r="D107">
        <v>33438.879999999997</v>
      </c>
      <c r="E107">
        <v>2016</v>
      </c>
      <c r="F107" t="s">
        <v>10</v>
      </c>
      <c r="G107">
        <v>31576.69</v>
      </c>
      <c r="H107">
        <v>-1862.19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FB04-8AA3-4D05-9EF0-0CF5D678A9F6}">
  <dimension ref="A1:H107"/>
  <sheetViews>
    <sheetView workbookViewId="0">
      <selection sqref="A1:H47"/>
    </sheetView>
  </sheetViews>
  <sheetFormatPr defaultRowHeight="15" x14ac:dyDescent="0.25"/>
  <cols>
    <col min="1" max="1" width="7.85546875" bestFit="1" customWidth="1"/>
    <col min="2" max="2" width="11.140625" bestFit="1" customWidth="1"/>
    <col min="3" max="3" width="8.85546875" bestFit="1" customWidth="1"/>
    <col min="4" max="4" width="31.140625" bestFit="1" customWidth="1"/>
    <col min="5" max="5" width="12" bestFit="1" customWidth="1"/>
    <col min="6" max="6" width="10.5703125" bestFit="1" customWidth="1"/>
    <col min="7" max="7" width="33.5703125" bestFit="1" customWidth="1"/>
    <col min="8" max="8" width="2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>
        <v>1886</v>
      </c>
      <c r="C2" t="s">
        <v>9</v>
      </c>
      <c r="D2">
        <v>471.43</v>
      </c>
      <c r="E2">
        <v>1887</v>
      </c>
      <c r="F2" t="s">
        <v>10</v>
      </c>
      <c r="G2">
        <v>205.48</v>
      </c>
      <c r="H2">
        <v>-265.95</v>
      </c>
    </row>
    <row r="3" spans="1:8" hidden="1" x14ac:dyDescent="0.25">
      <c r="A3" t="s">
        <v>11</v>
      </c>
      <c r="B3">
        <v>1887</v>
      </c>
      <c r="C3" t="s">
        <v>9</v>
      </c>
      <c r="D3">
        <v>269.35000000000002</v>
      </c>
      <c r="E3">
        <v>1888</v>
      </c>
      <c r="F3" t="s">
        <v>10</v>
      </c>
      <c r="G3">
        <v>205.88</v>
      </c>
      <c r="H3">
        <v>-63.47</v>
      </c>
    </row>
    <row r="4" spans="1:8" x14ac:dyDescent="0.25">
      <c r="A4" t="s">
        <v>12</v>
      </c>
      <c r="B4">
        <v>1888</v>
      </c>
      <c r="C4" t="s">
        <v>9</v>
      </c>
      <c r="D4">
        <v>741.43</v>
      </c>
      <c r="E4">
        <v>1889</v>
      </c>
      <c r="F4" t="s">
        <v>9</v>
      </c>
      <c r="G4">
        <v>118.89</v>
      </c>
      <c r="H4">
        <v>-622.54</v>
      </c>
    </row>
    <row r="5" spans="1:8" x14ac:dyDescent="0.25">
      <c r="A5" t="s">
        <v>12</v>
      </c>
      <c r="B5">
        <v>1889</v>
      </c>
      <c r="C5" t="s">
        <v>9</v>
      </c>
      <c r="D5">
        <v>118.89</v>
      </c>
      <c r="E5">
        <v>1890</v>
      </c>
      <c r="F5" t="s">
        <v>10</v>
      </c>
      <c r="G5">
        <v>152.33000000000001</v>
      </c>
      <c r="H5">
        <v>33.44</v>
      </c>
    </row>
    <row r="6" spans="1:8" hidden="1" x14ac:dyDescent="0.25">
      <c r="A6" t="s">
        <v>13</v>
      </c>
      <c r="B6">
        <v>1911</v>
      </c>
      <c r="C6" t="s">
        <v>9</v>
      </c>
      <c r="D6">
        <v>1613.33</v>
      </c>
      <c r="E6">
        <v>1912</v>
      </c>
      <c r="F6" t="s">
        <v>10</v>
      </c>
      <c r="G6">
        <v>7470.13</v>
      </c>
      <c r="H6">
        <v>5856.8</v>
      </c>
    </row>
    <row r="7" spans="1:8" hidden="1" x14ac:dyDescent="0.25">
      <c r="A7" t="s">
        <v>14</v>
      </c>
      <c r="B7">
        <v>1912</v>
      </c>
      <c r="C7" t="s">
        <v>9</v>
      </c>
      <c r="D7">
        <v>8526.2800000000007</v>
      </c>
      <c r="E7">
        <v>1913</v>
      </c>
      <c r="F7" t="s">
        <v>10</v>
      </c>
      <c r="G7">
        <v>6348</v>
      </c>
      <c r="H7">
        <v>-2178.2800000000002</v>
      </c>
    </row>
    <row r="8" spans="1:8" hidden="1" x14ac:dyDescent="0.25">
      <c r="A8" t="s">
        <v>13</v>
      </c>
      <c r="B8">
        <v>1913</v>
      </c>
      <c r="C8" t="s">
        <v>9</v>
      </c>
      <c r="D8">
        <v>7453.95</v>
      </c>
      <c r="E8">
        <v>1914</v>
      </c>
      <c r="F8" t="s">
        <v>10</v>
      </c>
      <c r="G8">
        <v>4773.08</v>
      </c>
      <c r="H8">
        <v>-2680.87</v>
      </c>
    </row>
    <row r="9" spans="1:8" hidden="1" x14ac:dyDescent="0.25">
      <c r="A9" t="s">
        <v>15</v>
      </c>
      <c r="B9">
        <v>1914</v>
      </c>
      <c r="C9" t="s">
        <v>9</v>
      </c>
      <c r="D9">
        <v>5980.53</v>
      </c>
      <c r="E9">
        <v>1915</v>
      </c>
      <c r="F9" t="s">
        <v>10</v>
      </c>
      <c r="G9">
        <v>4885.55</v>
      </c>
      <c r="H9">
        <v>-1094.98</v>
      </c>
    </row>
    <row r="10" spans="1:8" hidden="1" x14ac:dyDescent="0.25">
      <c r="A10" t="s">
        <v>16</v>
      </c>
      <c r="B10">
        <v>1917</v>
      </c>
      <c r="C10" t="s">
        <v>9</v>
      </c>
      <c r="D10">
        <v>9379.75</v>
      </c>
      <c r="E10">
        <v>1918</v>
      </c>
      <c r="F10" t="s">
        <v>10</v>
      </c>
      <c r="G10">
        <v>696.43</v>
      </c>
      <c r="H10">
        <v>-8683.32</v>
      </c>
    </row>
    <row r="11" spans="1:8" hidden="1" x14ac:dyDescent="0.25">
      <c r="A11" t="s">
        <v>14</v>
      </c>
      <c r="B11">
        <v>1918</v>
      </c>
      <c r="C11" t="s">
        <v>9</v>
      </c>
      <c r="D11">
        <v>371.43</v>
      </c>
      <c r="E11">
        <v>1919</v>
      </c>
      <c r="F11" t="s">
        <v>10</v>
      </c>
      <c r="G11">
        <v>1015.15</v>
      </c>
      <c r="H11">
        <v>643.72</v>
      </c>
    </row>
    <row r="12" spans="1:8" hidden="1" x14ac:dyDescent="0.25">
      <c r="A12" t="s">
        <v>17</v>
      </c>
      <c r="B12">
        <v>1919</v>
      </c>
      <c r="C12" t="s">
        <v>9</v>
      </c>
      <c r="D12">
        <v>4073.59</v>
      </c>
      <c r="E12">
        <v>1920</v>
      </c>
      <c r="F12" t="s">
        <v>10</v>
      </c>
      <c r="G12">
        <v>2396.1</v>
      </c>
      <c r="H12">
        <v>-1677.49</v>
      </c>
    </row>
    <row r="13" spans="1:8" hidden="1" x14ac:dyDescent="0.25">
      <c r="A13" t="s">
        <v>18</v>
      </c>
      <c r="B13">
        <v>1920</v>
      </c>
      <c r="C13" t="s">
        <v>9</v>
      </c>
      <c r="D13">
        <v>3743.59</v>
      </c>
      <c r="E13">
        <v>1921</v>
      </c>
      <c r="F13" t="s">
        <v>10</v>
      </c>
      <c r="G13">
        <v>3363.64</v>
      </c>
      <c r="H13">
        <v>-379.95</v>
      </c>
    </row>
    <row r="14" spans="1:8" x14ac:dyDescent="0.25">
      <c r="A14" t="s">
        <v>12</v>
      </c>
      <c r="B14">
        <v>1921</v>
      </c>
      <c r="C14" t="s">
        <v>9</v>
      </c>
      <c r="D14">
        <v>14424.05</v>
      </c>
      <c r="E14">
        <v>1922</v>
      </c>
      <c r="F14" t="s">
        <v>9</v>
      </c>
      <c r="G14">
        <v>12316.46</v>
      </c>
      <c r="H14">
        <v>-2107.59</v>
      </c>
    </row>
    <row r="15" spans="1:8" x14ac:dyDescent="0.25">
      <c r="A15" t="s">
        <v>12</v>
      </c>
      <c r="B15">
        <v>1922</v>
      </c>
      <c r="C15" t="s">
        <v>9</v>
      </c>
      <c r="D15">
        <v>12316.46</v>
      </c>
      <c r="E15">
        <v>1923</v>
      </c>
      <c r="F15" t="s">
        <v>10</v>
      </c>
      <c r="G15">
        <v>13090.91</v>
      </c>
      <c r="H15">
        <v>774.45</v>
      </c>
    </row>
    <row r="16" spans="1:8" hidden="1" x14ac:dyDescent="0.25">
      <c r="A16" t="s">
        <v>19</v>
      </c>
      <c r="B16">
        <v>1923</v>
      </c>
      <c r="C16" t="s">
        <v>9</v>
      </c>
      <c r="D16">
        <v>20765.79</v>
      </c>
      <c r="E16">
        <v>1924</v>
      </c>
      <c r="F16" t="s">
        <v>10</v>
      </c>
      <c r="G16">
        <v>19597.23</v>
      </c>
      <c r="H16">
        <v>-1168.56</v>
      </c>
    </row>
    <row r="17" spans="1:8" hidden="1" x14ac:dyDescent="0.25">
      <c r="A17" t="s">
        <v>20</v>
      </c>
      <c r="B17">
        <v>1924</v>
      </c>
      <c r="C17" t="s">
        <v>9</v>
      </c>
      <c r="D17">
        <v>4284.8100000000004</v>
      </c>
      <c r="E17">
        <v>1925</v>
      </c>
      <c r="F17" t="s">
        <v>10</v>
      </c>
      <c r="G17">
        <v>5631.58</v>
      </c>
      <c r="H17">
        <v>1346.77</v>
      </c>
    </row>
    <row r="18" spans="1:8" hidden="1" x14ac:dyDescent="0.25">
      <c r="A18" t="s">
        <v>21</v>
      </c>
      <c r="B18">
        <v>1925</v>
      </c>
      <c r="C18" t="s">
        <v>9</v>
      </c>
      <c r="D18">
        <v>9225.36</v>
      </c>
      <c r="E18">
        <v>1926</v>
      </c>
      <c r="F18" t="s">
        <v>10</v>
      </c>
      <c r="G18">
        <v>1734.18</v>
      </c>
      <c r="H18">
        <v>-7491.18</v>
      </c>
    </row>
    <row r="19" spans="1:8" hidden="1" x14ac:dyDescent="0.25">
      <c r="A19" t="s">
        <v>22</v>
      </c>
      <c r="B19">
        <v>1926</v>
      </c>
      <c r="C19" t="s">
        <v>9</v>
      </c>
      <c r="D19">
        <v>3535.18</v>
      </c>
      <c r="E19">
        <v>1927</v>
      </c>
      <c r="F19" t="s">
        <v>10</v>
      </c>
      <c r="G19">
        <v>7814.31</v>
      </c>
      <c r="H19">
        <v>4279.13</v>
      </c>
    </row>
    <row r="20" spans="1:8" hidden="1" x14ac:dyDescent="0.25">
      <c r="A20" t="s">
        <v>19</v>
      </c>
      <c r="B20">
        <v>1927</v>
      </c>
      <c r="C20" t="s">
        <v>9</v>
      </c>
      <c r="D20">
        <v>19326.509999999998</v>
      </c>
      <c r="E20">
        <v>1928</v>
      </c>
      <c r="F20" t="s">
        <v>9</v>
      </c>
      <c r="G20">
        <v>11470.97</v>
      </c>
      <c r="H20">
        <v>-7855.54</v>
      </c>
    </row>
    <row r="21" spans="1:8" hidden="1" x14ac:dyDescent="0.25">
      <c r="A21" t="s">
        <v>19</v>
      </c>
      <c r="B21">
        <v>1928</v>
      </c>
      <c r="C21" t="s">
        <v>9</v>
      </c>
      <c r="D21">
        <v>11470.97</v>
      </c>
      <c r="E21">
        <v>1929</v>
      </c>
      <c r="F21" t="s">
        <v>10</v>
      </c>
      <c r="G21">
        <v>11294.09</v>
      </c>
      <c r="H21">
        <v>-176.88</v>
      </c>
    </row>
    <row r="22" spans="1:8" hidden="1" x14ac:dyDescent="0.25">
      <c r="A22" t="s">
        <v>13</v>
      </c>
      <c r="B22">
        <v>1929</v>
      </c>
      <c r="C22" t="s">
        <v>9</v>
      </c>
      <c r="D22">
        <v>4027.03</v>
      </c>
      <c r="E22">
        <v>1930</v>
      </c>
      <c r="F22" t="s">
        <v>9</v>
      </c>
      <c r="G22">
        <v>3026.32</v>
      </c>
      <c r="H22">
        <v>-1000.71</v>
      </c>
    </row>
    <row r="23" spans="1:8" hidden="1" x14ac:dyDescent="0.25">
      <c r="A23" t="s">
        <v>13</v>
      </c>
      <c r="B23">
        <v>1930</v>
      </c>
      <c r="C23" t="s">
        <v>9</v>
      </c>
      <c r="D23">
        <v>3026.32</v>
      </c>
      <c r="E23">
        <v>1931</v>
      </c>
      <c r="F23" t="s">
        <v>10</v>
      </c>
      <c r="G23">
        <v>4853.33</v>
      </c>
      <c r="H23">
        <v>1827.01</v>
      </c>
    </row>
    <row r="24" spans="1:8" hidden="1" x14ac:dyDescent="0.25">
      <c r="A24" t="s">
        <v>22</v>
      </c>
      <c r="B24">
        <v>1931</v>
      </c>
      <c r="C24" t="s">
        <v>9</v>
      </c>
      <c r="D24">
        <v>5235.26</v>
      </c>
      <c r="E24">
        <v>1932</v>
      </c>
      <c r="F24" t="s">
        <v>10</v>
      </c>
      <c r="G24">
        <v>2942.56</v>
      </c>
      <c r="H24">
        <v>-2292.6999999999998</v>
      </c>
    </row>
    <row r="25" spans="1:8" hidden="1" x14ac:dyDescent="0.25">
      <c r="A25" t="s">
        <v>19</v>
      </c>
      <c r="B25">
        <v>1932</v>
      </c>
      <c r="C25" t="s">
        <v>9</v>
      </c>
      <c r="D25">
        <v>9894.23</v>
      </c>
      <c r="E25">
        <v>1933</v>
      </c>
      <c r="F25" t="s">
        <v>10</v>
      </c>
      <c r="G25">
        <v>13513.13</v>
      </c>
      <c r="H25">
        <v>3618.9</v>
      </c>
    </row>
    <row r="26" spans="1:8" x14ac:dyDescent="0.25">
      <c r="A26" t="s">
        <v>12</v>
      </c>
      <c r="B26">
        <v>1933</v>
      </c>
      <c r="C26" t="s">
        <v>9</v>
      </c>
      <c r="D26">
        <v>8746.75</v>
      </c>
      <c r="E26">
        <v>1934</v>
      </c>
      <c r="F26" t="s">
        <v>10</v>
      </c>
      <c r="G26">
        <v>5034.3100000000004</v>
      </c>
      <c r="H26">
        <v>-3712.44</v>
      </c>
    </row>
    <row r="27" spans="1:8" hidden="1" x14ac:dyDescent="0.25">
      <c r="A27" t="s">
        <v>22</v>
      </c>
      <c r="B27">
        <v>1934</v>
      </c>
      <c r="C27" t="s">
        <v>9</v>
      </c>
      <c r="D27">
        <v>2067.19</v>
      </c>
      <c r="E27">
        <v>1935</v>
      </c>
      <c r="F27" t="s">
        <v>10</v>
      </c>
      <c r="G27">
        <v>7470.62</v>
      </c>
      <c r="H27">
        <v>5403.43</v>
      </c>
    </row>
    <row r="28" spans="1:8" hidden="1" x14ac:dyDescent="0.25">
      <c r="A28" t="s">
        <v>23</v>
      </c>
      <c r="B28">
        <v>1935</v>
      </c>
      <c r="C28" t="s">
        <v>9</v>
      </c>
      <c r="D28">
        <v>8905.06</v>
      </c>
      <c r="E28">
        <v>1936</v>
      </c>
      <c r="F28" t="s">
        <v>10</v>
      </c>
      <c r="G28">
        <v>6385.71</v>
      </c>
      <c r="H28">
        <v>-2519.35</v>
      </c>
    </row>
    <row r="29" spans="1:8" hidden="1" x14ac:dyDescent="0.25">
      <c r="A29" t="s">
        <v>19</v>
      </c>
      <c r="B29">
        <v>1936</v>
      </c>
      <c r="C29" t="s">
        <v>9</v>
      </c>
      <c r="D29">
        <v>13861.84</v>
      </c>
      <c r="E29">
        <v>1937</v>
      </c>
      <c r="F29" t="s">
        <v>9</v>
      </c>
      <c r="G29">
        <v>13153.3</v>
      </c>
      <c r="H29">
        <v>-708.54</v>
      </c>
    </row>
    <row r="30" spans="1:8" hidden="1" x14ac:dyDescent="0.25">
      <c r="A30" t="s">
        <v>19</v>
      </c>
      <c r="B30">
        <v>1937</v>
      </c>
      <c r="C30" t="s">
        <v>9</v>
      </c>
      <c r="D30">
        <v>13153.3</v>
      </c>
      <c r="E30">
        <v>1938</v>
      </c>
      <c r="F30" t="s">
        <v>9</v>
      </c>
      <c r="G30">
        <v>12314.76</v>
      </c>
      <c r="H30">
        <v>-838.54</v>
      </c>
    </row>
    <row r="31" spans="1:8" hidden="1" x14ac:dyDescent="0.25">
      <c r="A31" t="s">
        <v>19</v>
      </c>
      <c r="B31">
        <v>1938</v>
      </c>
      <c r="C31" t="s">
        <v>9</v>
      </c>
      <c r="D31">
        <v>12314.76</v>
      </c>
      <c r="E31">
        <v>1939</v>
      </c>
      <c r="F31" t="s">
        <v>9</v>
      </c>
      <c r="G31">
        <v>12537.49</v>
      </c>
      <c r="H31">
        <v>222.73</v>
      </c>
    </row>
    <row r="32" spans="1:8" hidden="1" x14ac:dyDescent="0.25">
      <c r="A32" t="s">
        <v>19</v>
      </c>
      <c r="B32">
        <v>1939</v>
      </c>
      <c r="C32" t="s">
        <v>9</v>
      </c>
      <c r="D32">
        <v>12537.49</v>
      </c>
      <c r="E32">
        <v>1940</v>
      </c>
      <c r="F32" t="s">
        <v>10</v>
      </c>
      <c r="G32">
        <v>14587.16</v>
      </c>
      <c r="H32">
        <v>2049.67</v>
      </c>
    </row>
    <row r="33" spans="1:8" hidden="1" x14ac:dyDescent="0.25">
      <c r="A33" t="s">
        <v>17</v>
      </c>
      <c r="B33">
        <v>1940</v>
      </c>
      <c r="C33" t="s">
        <v>9</v>
      </c>
      <c r="D33">
        <v>11124.38</v>
      </c>
      <c r="E33">
        <v>1941</v>
      </c>
      <c r="F33" t="s">
        <v>10</v>
      </c>
      <c r="G33">
        <v>8268.81</v>
      </c>
      <c r="H33">
        <v>-2855.57</v>
      </c>
    </row>
    <row r="34" spans="1:8" hidden="1" x14ac:dyDescent="0.25">
      <c r="A34" t="s">
        <v>19</v>
      </c>
      <c r="B34">
        <v>1941</v>
      </c>
      <c r="C34" t="s">
        <v>9</v>
      </c>
      <c r="D34">
        <v>13508.69</v>
      </c>
      <c r="E34">
        <v>1942</v>
      </c>
      <c r="F34" t="s">
        <v>10</v>
      </c>
      <c r="G34">
        <v>12954.79</v>
      </c>
      <c r="H34">
        <v>-553.9</v>
      </c>
    </row>
    <row r="35" spans="1:8" hidden="1" x14ac:dyDescent="0.25">
      <c r="A35" t="s">
        <v>22</v>
      </c>
      <c r="B35">
        <v>1942</v>
      </c>
      <c r="C35" t="s">
        <v>9</v>
      </c>
      <c r="D35">
        <v>6832.54</v>
      </c>
      <c r="E35">
        <v>1943</v>
      </c>
      <c r="F35" t="s">
        <v>10</v>
      </c>
      <c r="G35">
        <v>6715.04</v>
      </c>
      <c r="H35">
        <v>-117.5</v>
      </c>
    </row>
    <row r="36" spans="1:8" hidden="1" x14ac:dyDescent="0.25">
      <c r="A36" t="s">
        <v>19</v>
      </c>
      <c r="B36">
        <v>1943</v>
      </c>
      <c r="C36" t="s">
        <v>9</v>
      </c>
      <c r="D36">
        <v>9039.44</v>
      </c>
      <c r="E36">
        <v>1944</v>
      </c>
      <c r="F36" t="s">
        <v>10</v>
      </c>
      <c r="G36">
        <v>13412.87</v>
      </c>
      <c r="H36">
        <v>4373.43</v>
      </c>
    </row>
    <row r="37" spans="1:8" hidden="1" x14ac:dyDescent="0.25">
      <c r="A37" t="s">
        <v>22</v>
      </c>
      <c r="B37">
        <v>1944</v>
      </c>
      <c r="C37" t="s">
        <v>9</v>
      </c>
      <c r="D37">
        <v>6772.88</v>
      </c>
      <c r="E37">
        <v>1945</v>
      </c>
      <c r="F37" t="s">
        <v>10</v>
      </c>
      <c r="G37">
        <v>7304.58</v>
      </c>
      <c r="H37">
        <v>531.70000000000005</v>
      </c>
    </row>
    <row r="38" spans="1:8" hidden="1" x14ac:dyDescent="0.25">
      <c r="A38" t="s">
        <v>23</v>
      </c>
      <c r="B38">
        <v>1945</v>
      </c>
      <c r="C38" t="s">
        <v>9</v>
      </c>
      <c r="D38">
        <v>16420.3</v>
      </c>
      <c r="E38">
        <v>1946</v>
      </c>
      <c r="F38" t="s">
        <v>10</v>
      </c>
      <c r="G38">
        <v>19397.560000000001</v>
      </c>
      <c r="H38">
        <v>2977.26</v>
      </c>
    </row>
    <row r="39" spans="1:8" hidden="1" x14ac:dyDescent="0.25">
      <c r="A39" t="s">
        <v>22</v>
      </c>
      <c r="B39">
        <v>1946</v>
      </c>
      <c r="C39" t="s">
        <v>9</v>
      </c>
      <c r="D39">
        <v>13590.86</v>
      </c>
      <c r="E39">
        <v>1947</v>
      </c>
      <c r="F39" t="s">
        <v>10</v>
      </c>
      <c r="G39">
        <v>16079.13</v>
      </c>
      <c r="H39">
        <v>2488.27</v>
      </c>
    </row>
    <row r="40" spans="1:8" hidden="1" x14ac:dyDescent="0.25">
      <c r="A40" t="s">
        <v>19</v>
      </c>
      <c r="B40">
        <v>1947</v>
      </c>
      <c r="C40" t="s">
        <v>9</v>
      </c>
      <c r="D40">
        <v>28896.23</v>
      </c>
      <c r="E40">
        <v>1948</v>
      </c>
      <c r="F40" t="s">
        <v>10</v>
      </c>
      <c r="G40">
        <v>31314.22</v>
      </c>
      <c r="H40">
        <v>2417.9899999999998</v>
      </c>
    </row>
    <row r="41" spans="1:8" hidden="1" x14ac:dyDescent="0.25">
      <c r="A41" t="s">
        <v>18</v>
      </c>
      <c r="B41">
        <v>1948</v>
      </c>
      <c r="C41" t="s">
        <v>9</v>
      </c>
      <c r="D41">
        <v>33670.76</v>
      </c>
      <c r="E41">
        <v>1949</v>
      </c>
      <c r="F41" t="s">
        <v>10</v>
      </c>
      <c r="G41">
        <v>30189.51</v>
      </c>
      <c r="H41">
        <v>-3481.25</v>
      </c>
    </row>
    <row r="42" spans="1:8" hidden="1" x14ac:dyDescent="0.25">
      <c r="A42" t="s">
        <v>19</v>
      </c>
      <c r="B42">
        <v>1949</v>
      </c>
      <c r="C42" t="s">
        <v>9</v>
      </c>
      <c r="D42">
        <v>29760.79</v>
      </c>
      <c r="E42">
        <v>1950</v>
      </c>
      <c r="F42" t="s">
        <v>9</v>
      </c>
      <c r="G42">
        <v>26063.66</v>
      </c>
      <c r="H42">
        <v>-3697.13</v>
      </c>
    </row>
    <row r="43" spans="1:8" hidden="1" x14ac:dyDescent="0.25">
      <c r="A43" t="s">
        <v>19</v>
      </c>
      <c r="B43">
        <v>1950</v>
      </c>
      <c r="C43" t="s">
        <v>9</v>
      </c>
      <c r="D43">
        <v>26063.66</v>
      </c>
      <c r="E43">
        <v>1951</v>
      </c>
      <c r="F43" t="s">
        <v>9</v>
      </c>
      <c r="G43">
        <v>24750.37</v>
      </c>
      <c r="H43">
        <v>-1313.29</v>
      </c>
    </row>
    <row r="44" spans="1:8" hidden="1" x14ac:dyDescent="0.25">
      <c r="A44" t="s">
        <v>19</v>
      </c>
      <c r="B44">
        <v>1951</v>
      </c>
      <c r="C44" t="s">
        <v>9</v>
      </c>
      <c r="D44">
        <v>24750.37</v>
      </c>
      <c r="E44">
        <v>1952</v>
      </c>
      <c r="F44" t="s">
        <v>9</v>
      </c>
      <c r="G44">
        <v>20694.79</v>
      </c>
      <c r="H44">
        <v>-4055.58</v>
      </c>
    </row>
    <row r="45" spans="1:8" hidden="1" x14ac:dyDescent="0.25">
      <c r="A45" t="s">
        <v>19</v>
      </c>
      <c r="B45">
        <v>1952</v>
      </c>
      <c r="C45" t="s">
        <v>9</v>
      </c>
      <c r="D45">
        <v>20694.79</v>
      </c>
      <c r="E45">
        <v>1953</v>
      </c>
      <c r="F45" t="s">
        <v>9</v>
      </c>
      <c r="G45">
        <v>19439.18</v>
      </c>
      <c r="H45">
        <v>-1255.6099999999999</v>
      </c>
    </row>
    <row r="46" spans="1:8" hidden="1" x14ac:dyDescent="0.25">
      <c r="A46" t="s">
        <v>19</v>
      </c>
      <c r="B46">
        <v>1953</v>
      </c>
      <c r="C46" t="s">
        <v>9</v>
      </c>
      <c r="D46">
        <v>19439.18</v>
      </c>
      <c r="E46">
        <v>1954</v>
      </c>
      <c r="F46" t="s">
        <v>10</v>
      </c>
      <c r="G46">
        <v>18910.91</v>
      </c>
      <c r="H46">
        <v>-528.27</v>
      </c>
    </row>
    <row r="47" spans="1:8" x14ac:dyDescent="0.25">
      <c r="A47" t="s">
        <v>12</v>
      </c>
      <c r="B47">
        <v>1954</v>
      </c>
      <c r="C47" t="s">
        <v>9</v>
      </c>
      <c r="D47">
        <v>15329.88</v>
      </c>
      <c r="E47">
        <v>1955</v>
      </c>
      <c r="F47" t="s">
        <v>10</v>
      </c>
      <c r="G47">
        <v>10445.59</v>
      </c>
      <c r="H47">
        <v>-4884.29</v>
      </c>
    </row>
    <row r="48" spans="1:8" hidden="1" x14ac:dyDescent="0.25">
      <c r="A48" t="s">
        <v>24</v>
      </c>
      <c r="B48">
        <v>1955</v>
      </c>
      <c r="C48" t="s">
        <v>9</v>
      </c>
      <c r="D48">
        <v>13266.09</v>
      </c>
      <c r="E48">
        <v>1956</v>
      </c>
      <c r="F48" t="s">
        <v>10</v>
      </c>
      <c r="G48">
        <v>16066.92</v>
      </c>
      <c r="H48">
        <v>2800.83</v>
      </c>
    </row>
    <row r="49" spans="1:8" hidden="1" x14ac:dyDescent="0.25">
      <c r="A49" t="s">
        <v>19</v>
      </c>
      <c r="B49">
        <v>1956</v>
      </c>
      <c r="C49" t="s">
        <v>9</v>
      </c>
      <c r="D49">
        <v>21212.74</v>
      </c>
      <c r="E49">
        <v>1957</v>
      </c>
      <c r="F49" t="s">
        <v>10</v>
      </c>
      <c r="G49">
        <v>19517.95</v>
      </c>
      <c r="H49">
        <v>-1694.79</v>
      </c>
    </row>
    <row r="50" spans="1:8" hidden="1" x14ac:dyDescent="0.25">
      <c r="A50" t="s">
        <v>25</v>
      </c>
      <c r="B50">
        <v>1957</v>
      </c>
      <c r="C50" t="s">
        <v>9</v>
      </c>
      <c r="D50">
        <v>28397.96</v>
      </c>
      <c r="E50">
        <v>1958</v>
      </c>
      <c r="F50" t="s">
        <v>10</v>
      </c>
      <c r="G50">
        <v>25361.08</v>
      </c>
      <c r="H50">
        <v>-3036.88</v>
      </c>
    </row>
    <row r="51" spans="1:8" hidden="1" x14ac:dyDescent="0.25">
      <c r="A51" t="s">
        <v>19</v>
      </c>
      <c r="B51">
        <v>1958</v>
      </c>
      <c r="C51" t="s">
        <v>9</v>
      </c>
      <c r="D51">
        <v>17901.04</v>
      </c>
      <c r="E51">
        <v>1959</v>
      </c>
      <c r="F51" t="s">
        <v>10</v>
      </c>
      <c r="G51">
        <v>21576.65</v>
      </c>
      <c r="H51">
        <v>3675.61</v>
      </c>
    </row>
    <row r="52" spans="1:8" hidden="1" x14ac:dyDescent="0.25">
      <c r="A52" t="s">
        <v>26</v>
      </c>
      <c r="B52">
        <v>1959</v>
      </c>
      <c r="C52" t="s">
        <v>9</v>
      </c>
      <c r="D52">
        <v>26711.85</v>
      </c>
      <c r="E52">
        <v>1960</v>
      </c>
      <c r="F52" t="s">
        <v>10</v>
      </c>
      <c r="G52">
        <v>29467.38</v>
      </c>
      <c r="H52">
        <v>2755.53</v>
      </c>
    </row>
    <row r="53" spans="1:8" hidden="1" x14ac:dyDescent="0.25">
      <c r="A53" t="s">
        <v>21</v>
      </c>
      <c r="B53">
        <v>1960</v>
      </c>
      <c r="C53" t="s">
        <v>9</v>
      </c>
      <c r="D53">
        <v>21885.759999999998</v>
      </c>
      <c r="E53">
        <v>1961</v>
      </c>
      <c r="F53" t="s">
        <v>10</v>
      </c>
      <c r="G53">
        <v>15574</v>
      </c>
      <c r="H53">
        <v>-6311.76</v>
      </c>
    </row>
    <row r="54" spans="1:8" hidden="1" x14ac:dyDescent="0.25">
      <c r="A54" t="s">
        <v>19</v>
      </c>
      <c r="B54">
        <v>1961</v>
      </c>
      <c r="C54" t="s">
        <v>9</v>
      </c>
      <c r="D54">
        <v>21576.86</v>
      </c>
      <c r="E54">
        <v>1962</v>
      </c>
      <c r="F54" t="s">
        <v>9</v>
      </c>
      <c r="G54">
        <v>20079.060000000001</v>
      </c>
      <c r="H54">
        <v>-1497.8</v>
      </c>
    </row>
    <row r="55" spans="1:8" hidden="1" x14ac:dyDescent="0.25">
      <c r="A55" t="s">
        <v>19</v>
      </c>
      <c r="B55">
        <v>1962</v>
      </c>
      <c r="C55" t="s">
        <v>9</v>
      </c>
      <c r="D55">
        <v>20079.060000000001</v>
      </c>
      <c r="E55">
        <v>1963</v>
      </c>
      <c r="F55" t="s">
        <v>10</v>
      </c>
      <c r="G55">
        <v>18256.71</v>
      </c>
      <c r="H55">
        <v>-1822.35</v>
      </c>
    </row>
    <row r="56" spans="1:8" hidden="1" x14ac:dyDescent="0.25">
      <c r="A56" t="s">
        <v>26</v>
      </c>
      <c r="B56">
        <v>1963</v>
      </c>
      <c r="C56" t="s">
        <v>9</v>
      </c>
      <c r="D56">
        <v>31341.47</v>
      </c>
      <c r="E56">
        <v>1964</v>
      </c>
      <c r="F56" t="s">
        <v>10</v>
      </c>
      <c r="G56">
        <v>27586.400000000001</v>
      </c>
      <c r="H56">
        <v>-3755.07</v>
      </c>
    </row>
    <row r="57" spans="1:8" hidden="1" x14ac:dyDescent="0.25">
      <c r="A57" t="s">
        <v>22</v>
      </c>
      <c r="B57">
        <v>1964</v>
      </c>
      <c r="C57" t="s">
        <v>9</v>
      </c>
      <c r="D57">
        <v>14107</v>
      </c>
      <c r="E57">
        <v>1965</v>
      </c>
      <c r="F57" t="s">
        <v>10</v>
      </c>
      <c r="G57">
        <v>15245.57</v>
      </c>
      <c r="H57">
        <v>1138.57</v>
      </c>
    </row>
    <row r="58" spans="1:8" hidden="1" x14ac:dyDescent="0.25">
      <c r="A58" t="s">
        <v>26</v>
      </c>
      <c r="B58">
        <v>1965</v>
      </c>
      <c r="C58" t="s">
        <v>9</v>
      </c>
      <c r="D58">
        <v>31612.94</v>
      </c>
      <c r="E58">
        <v>1966</v>
      </c>
      <c r="F58" t="s">
        <v>10</v>
      </c>
      <c r="G58">
        <v>32309.33</v>
      </c>
      <c r="H58">
        <v>696.39</v>
      </c>
    </row>
    <row r="59" spans="1:8" hidden="1" x14ac:dyDescent="0.25">
      <c r="A59" t="s">
        <v>27</v>
      </c>
      <c r="B59">
        <v>1966</v>
      </c>
      <c r="C59" t="s">
        <v>9</v>
      </c>
      <c r="D59">
        <v>15233.22</v>
      </c>
      <c r="E59">
        <v>1967</v>
      </c>
      <c r="F59" t="s">
        <v>10</v>
      </c>
      <c r="G59">
        <v>11102.62</v>
      </c>
      <c r="H59">
        <v>-4130.6000000000004</v>
      </c>
    </row>
    <row r="60" spans="1:8" hidden="1" x14ac:dyDescent="0.25">
      <c r="A60" t="s">
        <v>22</v>
      </c>
      <c r="B60">
        <v>1967</v>
      </c>
      <c r="C60" t="s">
        <v>9</v>
      </c>
      <c r="D60">
        <v>25798.09</v>
      </c>
      <c r="E60">
        <v>1968</v>
      </c>
      <c r="F60" t="s">
        <v>10</v>
      </c>
      <c r="G60">
        <v>24834.16</v>
      </c>
      <c r="H60">
        <v>-963.93</v>
      </c>
    </row>
    <row r="61" spans="1:8" hidden="1" x14ac:dyDescent="0.25">
      <c r="A61" t="s">
        <v>23</v>
      </c>
      <c r="B61">
        <v>1968</v>
      </c>
      <c r="C61" t="s">
        <v>9</v>
      </c>
      <c r="D61">
        <v>25089.59</v>
      </c>
      <c r="E61">
        <v>1969</v>
      </c>
      <c r="F61" t="s">
        <v>10</v>
      </c>
      <c r="G61">
        <v>19556.330000000002</v>
      </c>
      <c r="H61">
        <v>-5533.26</v>
      </c>
    </row>
    <row r="62" spans="1:8" hidden="1" x14ac:dyDescent="0.25">
      <c r="A62" t="s">
        <v>28</v>
      </c>
      <c r="B62">
        <v>1969</v>
      </c>
      <c r="C62" t="s">
        <v>9</v>
      </c>
      <c r="D62">
        <v>26732.82</v>
      </c>
      <c r="E62">
        <v>1970</v>
      </c>
      <c r="F62" t="s">
        <v>10</v>
      </c>
      <c r="G62">
        <v>32895.800000000003</v>
      </c>
      <c r="H62">
        <v>6162.98</v>
      </c>
    </row>
    <row r="63" spans="1:8" hidden="1" x14ac:dyDescent="0.25">
      <c r="A63" t="s">
        <v>27</v>
      </c>
      <c r="B63">
        <v>1970</v>
      </c>
      <c r="C63" t="s">
        <v>9</v>
      </c>
      <c r="D63">
        <v>12690.17</v>
      </c>
      <c r="E63">
        <v>1971</v>
      </c>
      <c r="F63" t="s">
        <v>10</v>
      </c>
      <c r="G63">
        <v>13416.04</v>
      </c>
      <c r="H63">
        <v>725.87</v>
      </c>
    </row>
    <row r="64" spans="1:8" hidden="1" x14ac:dyDescent="0.25">
      <c r="A64" t="s">
        <v>21</v>
      </c>
      <c r="B64">
        <v>1971</v>
      </c>
      <c r="C64" t="s">
        <v>9</v>
      </c>
      <c r="D64">
        <v>19254.599999999999</v>
      </c>
      <c r="E64">
        <v>1972</v>
      </c>
      <c r="F64" t="s">
        <v>10</v>
      </c>
      <c r="G64">
        <v>19499.599999999999</v>
      </c>
      <c r="H64">
        <v>245</v>
      </c>
    </row>
    <row r="65" spans="1:8" hidden="1" x14ac:dyDescent="0.25">
      <c r="A65" t="s">
        <v>29</v>
      </c>
      <c r="B65">
        <v>1972</v>
      </c>
      <c r="C65" t="s">
        <v>9</v>
      </c>
      <c r="D65">
        <v>12046.03</v>
      </c>
      <c r="E65">
        <v>1973</v>
      </c>
      <c r="F65" t="s">
        <v>9</v>
      </c>
      <c r="G65">
        <v>12346.23</v>
      </c>
      <c r="H65">
        <v>300.2</v>
      </c>
    </row>
    <row r="66" spans="1:8" hidden="1" x14ac:dyDescent="0.25">
      <c r="A66" t="s">
        <v>29</v>
      </c>
      <c r="B66">
        <v>1973</v>
      </c>
      <c r="C66" t="s">
        <v>9</v>
      </c>
      <c r="D66">
        <v>12346.23</v>
      </c>
      <c r="E66">
        <v>1974</v>
      </c>
      <c r="F66" t="s">
        <v>9</v>
      </c>
      <c r="G66">
        <v>10329.16</v>
      </c>
      <c r="H66">
        <v>-2017.07</v>
      </c>
    </row>
    <row r="67" spans="1:8" hidden="1" x14ac:dyDescent="0.25">
      <c r="A67" t="s">
        <v>29</v>
      </c>
      <c r="B67">
        <v>1974</v>
      </c>
      <c r="C67" t="s">
        <v>9</v>
      </c>
      <c r="D67">
        <v>10329.16</v>
      </c>
      <c r="E67">
        <v>1975</v>
      </c>
      <c r="F67" t="s">
        <v>10</v>
      </c>
      <c r="G67">
        <v>13303.67</v>
      </c>
      <c r="H67">
        <v>2974.51</v>
      </c>
    </row>
    <row r="68" spans="1:8" hidden="1" x14ac:dyDescent="0.25">
      <c r="A68" t="s">
        <v>17</v>
      </c>
      <c r="B68">
        <v>1975</v>
      </c>
      <c r="C68" t="s">
        <v>9</v>
      </c>
      <c r="D68">
        <v>28587.69</v>
      </c>
      <c r="E68">
        <v>1976</v>
      </c>
      <c r="F68" t="s">
        <v>9</v>
      </c>
      <c r="G68">
        <v>32465.53</v>
      </c>
      <c r="H68">
        <v>3877.84</v>
      </c>
    </row>
    <row r="69" spans="1:8" hidden="1" x14ac:dyDescent="0.25">
      <c r="A69" t="s">
        <v>17</v>
      </c>
      <c r="B69">
        <v>1976</v>
      </c>
      <c r="C69" t="s">
        <v>9</v>
      </c>
      <c r="D69">
        <v>32465.53</v>
      </c>
      <c r="E69">
        <v>1977</v>
      </c>
      <c r="F69" t="s">
        <v>10</v>
      </c>
      <c r="G69">
        <v>31185.57</v>
      </c>
      <c r="H69">
        <v>-1279.96</v>
      </c>
    </row>
    <row r="70" spans="1:8" hidden="1" x14ac:dyDescent="0.25">
      <c r="A70" t="s">
        <v>19</v>
      </c>
      <c r="B70">
        <v>1977</v>
      </c>
      <c r="C70" t="s">
        <v>9</v>
      </c>
      <c r="D70">
        <v>28592.880000000001</v>
      </c>
      <c r="E70">
        <v>1978</v>
      </c>
      <c r="F70" t="s">
        <v>9</v>
      </c>
      <c r="G70">
        <v>29930.85</v>
      </c>
      <c r="H70">
        <v>1337.97</v>
      </c>
    </row>
    <row r="71" spans="1:8" hidden="1" x14ac:dyDescent="0.25">
      <c r="A71" t="s">
        <v>19</v>
      </c>
      <c r="B71">
        <v>1978</v>
      </c>
      <c r="C71" t="s">
        <v>9</v>
      </c>
      <c r="D71">
        <v>29930.85</v>
      </c>
      <c r="E71">
        <v>1979</v>
      </c>
      <c r="F71" t="s">
        <v>10</v>
      </c>
      <c r="G71">
        <v>31405.53</v>
      </c>
      <c r="H71">
        <v>1474.68</v>
      </c>
    </row>
    <row r="72" spans="1:8" hidden="1" x14ac:dyDescent="0.25">
      <c r="A72" t="s">
        <v>21</v>
      </c>
      <c r="B72">
        <v>1979</v>
      </c>
      <c r="C72" t="s">
        <v>9</v>
      </c>
      <c r="D72">
        <v>17721.32</v>
      </c>
      <c r="E72">
        <v>1980</v>
      </c>
      <c r="F72" t="s">
        <v>10</v>
      </c>
      <c r="G72">
        <v>20268.599999999999</v>
      </c>
      <c r="H72">
        <v>2547.2800000000002</v>
      </c>
    </row>
    <row r="73" spans="1:8" hidden="1" x14ac:dyDescent="0.25">
      <c r="A73" t="s">
        <v>30</v>
      </c>
      <c r="B73">
        <v>1980</v>
      </c>
      <c r="C73" t="s">
        <v>9</v>
      </c>
      <c r="D73">
        <v>32826.629999999997</v>
      </c>
      <c r="E73">
        <v>1981</v>
      </c>
      <c r="F73" t="s">
        <v>10</v>
      </c>
      <c r="G73">
        <v>29798.44</v>
      </c>
      <c r="H73">
        <v>-3028.19</v>
      </c>
    </row>
    <row r="74" spans="1:8" hidden="1" x14ac:dyDescent="0.25">
      <c r="A74" t="s">
        <v>26</v>
      </c>
      <c r="B74">
        <v>1981</v>
      </c>
      <c r="C74" t="s">
        <v>9</v>
      </c>
      <c r="D74">
        <v>42546.05</v>
      </c>
      <c r="E74">
        <v>1982</v>
      </c>
      <c r="F74" t="s">
        <v>10</v>
      </c>
      <c r="G74">
        <v>44554.09</v>
      </c>
      <c r="H74">
        <v>2008.04</v>
      </c>
    </row>
    <row r="75" spans="1:8" hidden="1" x14ac:dyDescent="0.25">
      <c r="A75" t="s">
        <v>22</v>
      </c>
      <c r="B75">
        <v>1982</v>
      </c>
      <c r="C75" t="s">
        <v>9</v>
      </c>
      <c r="D75">
        <v>26073.11</v>
      </c>
      <c r="E75">
        <v>1983</v>
      </c>
      <c r="F75" t="s">
        <v>10</v>
      </c>
      <c r="G75">
        <v>28934.19</v>
      </c>
      <c r="H75">
        <v>2861.08</v>
      </c>
    </row>
    <row r="76" spans="1:8" hidden="1" x14ac:dyDescent="0.25">
      <c r="A76" t="s">
        <v>27</v>
      </c>
      <c r="B76">
        <v>1983</v>
      </c>
      <c r="C76" t="s">
        <v>9</v>
      </c>
      <c r="D76">
        <v>25140.7</v>
      </c>
      <c r="E76">
        <v>1984</v>
      </c>
      <c r="F76" t="s">
        <v>10</v>
      </c>
      <c r="G76">
        <v>25150.69</v>
      </c>
      <c r="H76">
        <v>9.99</v>
      </c>
    </row>
    <row r="77" spans="1:8" hidden="1" x14ac:dyDescent="0.25">
      <c r="A77" t="s">
        <v>23</v>
      </c>
      <c r="B77">
        <v>1984</v>
      </c>
      <c r="C77" t="s">
        <v>9</v>
      </c>
      <c r="D77">
        <v>32985.29</v>
      </c>
      <c r="E77">
        <v>1985</v>
      </c>
      <c r="F77" t="s">
        <v>10</v>
      </c>
      <c r="G77">
        <v>28229.75</v>
      </c>
      <c r="H77">
        <v>-4755.54</v>
      </c>
    </row>
    <row r="78" spans="1:8" hidden="1" x14ac:dyDescent="0.25">
      <c r="A78" t="s">
        <v>31</v>
      </c>
      <c r="B78">
        <v>1985</v>
      </c>
      <c r="C78" t="s">
        <v>9</v>
      </c>
      <c r="D78">
        <v>26374.57</v>
      </c>
      <c r="E78">
        <v>1986</v>
      </c>
      <c r="F78" t="s">
        <v>10</v>
      </c>
      <c r="G78">
        <v>28651.41</v>
      </c>
      <c r="H78">
        <v>2276.84</v>
      </c>
    </row>
    <row r="79" spans="1:8" hidden="1" x14ac:dyDescent="0.25">
      <c r="A79" t="s">
        <v>28</v>
      </c>
      <c r="B79">
        <v>1986</v>
      </c>
      <c r="C79" t="s">
        <v>9</v>
      </c>
      <c r="D79">
        <v>34103.910000000003</v>
      </c>
      <c r="E79">
        <v>1987</v>
      </c>
      <c r="F79" t="s">
        <v>10</v>
      </c>
      <c r="G79">
        <v>37371.86</v>
      </c>
      <c r="H79">
        <v>3267.95</v>
      </c>
    </row>
    <row r="80" spans="1:8" hidden="1" x14ac:dyDescent="0.25">
      <c r="A80" t="s">
        <v>32</v>
      </c>
      <c r="B80">
        <v>1987</v>
      </c>
      <c r="C80" t="s">
        <v>9</v>
      </c>
      <c r="D80">
        <v>25706.21</v>
      </c>
      <c r="E80">
        <v>1988</v>
      </c>
      <c r="F80" t="s">
        <v>10</v>
      </c>
      <c r="G80">
        <v>37407.4</v>
      </c>
      <c r="H80">
        <v>11701.19</v>
      </c>
    </row>
    <row r="81" spans="1:8" hidden="1" x14ac:dyDescent="0.25">
      <c r="A81" t="s">
        <v>26</v>
      </c>
      <c r="B81">
        <v>1988</v>
      </c>
      <c r="C81" t="s">
        <v>9</v>
      </c>
      <c r="D81">
        <v>36793.360000000001</v>
      </c>
      <c r="E81">
        <v>1989</v>
      </c>
      <c r="F81" t="s">
        <v>10</v>
      </c>
      <c r="G81">
        <v>36343.620000000003</v>
      </c>
      <c r="H81">
        <v>-449.74</v>
      </c>
    </row>
    <row r="82" spans="1:8" hidden="1" x14ac:dyDescent="0.25">
      <c r="A82" t="s">
        <v>29</v>
      </c>
      <c r="B82">
        <v>1989</v>
      </c>
      <c r="C82" t="s">
        <v>9</v>
      </c>
      <c r="D82">
        <v>32983.22</v>
      </c>
      <c r="E82">
        <v>1990</v>
      </c>
      <c r="F82" t="s">
        <v>10</v>
      </c>
      <c r="G82">
        <v>35842.01</v>
      </c>
      <c r="H82">
        <v>2858.79</v>
      </c>
    </row>
    <row r="83" spans="1:8" hidden="1" x14ac:dyDescent="0.25">
      <c r="A83" t="s">
        <v>17</v>
      </c>
      <c r="B83">
        <v>1990</v>
      </c>
      <c r="C83" t="s">
        <v>9</v>
      </c>
      <c r="D83">
        <v>29723</v>
      </c>
      <c r="E83">
        <v>1991</v>
      </c>
      <c r="F83" t="s">
        <v>10</v>
      </c>
      <c r="G83">
        <v>29288.6</v>
      </c>
      <c r="H83">
        <v>-434.4</v>
      </c>
    </row>
    <row r="84" spans="1:8" hidden="1" x14ac:dyDescent="0.25">
      <c r="A84" t="s">
        <v>32</v>
      </c>
      <c r="B84">
        <v>1991</v>
      </c>
      <c r="C84" t="s">
        <v>9</v>
      </c>
      <c r="D84">
        <v>28319.040000000001</v>
      </c>
      <c r="E84">
        <v>1992</v>
      </c>
      <c r="F84" t="s">
        <v>10</v>
      </c>
      <c r="G84">
        <v>30644.3</v>
      </c>
      <c r="H84">
        <v>2325.2600000000002</v>
      </c>
    </row>
    <row r="85" spans="1:8" hidden="1" x14ac:dyDescent="0.25">
      <c r="A85" t="s">
        <v>33</v>
      </c>
      <c r="B85">
        <v>1992</v>
      </c>
      <c r="C85" t="s">
        <v>9</v>
      </c>
      <c r="D85">
        <v>49732.32</v>
      </c>
      <c r="E85">
        <v>1993</v>
      </c>
      <c r="F85" t="s">
        <v>9</v>
      </c>
      <c r="G85">
        <v>50095.64</v>
      </c>
      <c r="H85">
        <v>363.32</v>
      </c>
    </row>
    <row r="86" spans="1:8" hidden="1" x14ac:dyDescent="0.25">
      <c r="A86" t="s">
        <v>33</v>
      </c>
      <c r="B86">
        <v>1993</v>
      </c>
      <c r="C86" t="s">
        <v>9</v>
      </c>
      <c r="D86">
        <v>50095.64</v>
      </c>
      <c r="E86">
        <v>1994</v>
      </c>
      <c r="F86" t="s">
        <v>34</v>
      </c>
      <c r="G86">
        <v>49287.27</v>
      </c>
      <c r="H86">
        <v>-808.37</v>
      </c>
    </row>
    <row r="87" spans="1:8" hidden="1" x14ac:dyDescent="0.25">
      <c r="A87" t="s">
        <v>35</v>
      </c>
      <c r="B87">
        <v>1995</v>
      </c>
      <c r="C87" t="s">
        <v>9</v>
      </c>
      <c r="D87">
        <v>35617.94</v>
      </c>
      <c r="E87">
        <v>1996</v>
      </c>
      <c r="F87" t="s">
        <v>10</v>
      </c>
      <c r="G87">
        <v>35787.730000000003</v>
      </c>
      <c r="H87">
        <v>169.79</v>
      </c>
    </row>
    <row r="88" spans="1:8" hidden="1" x14ac:dyDescent="0.25">
      <c r="A88" t="s">
        <v>19</v>
      </c>
      <c r="B88">
        <v>1996</v>
      </c>
      <c r="C88" t="s">
        <v>9</v>
      </c>
      <c r="D88">
        <v>28188.14</v>
      </c>
      <c r="E88">
        <v>1997</v>
      </c>
      <c r="F88" t="s">
        <v>10</v>
      </c>
      <c r="G88">
        <v>32263.040000000001</v>
      </c>
      <c r="H88">
        <v>4074.9</v>
      </c>
    </row>
    <row r="89" spans="1:8" hidden="1" x14ac:dyDescent="0.25">
      <c r="A89" t="s">
        <v>36</v>
      </c>
      <c r="B89">
        <v>1997</v>
      </c>
      <c r="C89" t="s">
        <v>9</v>
      </c>
      <c r="D89">
        <v>29044.04</v>
      </c>
      <c r="E89">
        <v>1998</v>
      </c>
      <c r="F89" t="s">
        <v>10</v>
      </c>
      <c r="G89">
        <v>21609.81</v>
      </c>
      <c r="H89">
        <v>-7434.23</v>
      </c>
    </row>
    <row r="90" spans="1:8" hidden="1" x14ac:dyDescent="0.25">
      <c r="A90" t="s">
        <v>19</v>
      </c>
      <c r="B90">
        <v>1998</v>
      </c>
      <c r="C90" t="s">
        <v>9</v>
      </c>
      <c r="D90">
        <v>36416.47</v>
      </c>
      <c r="E90">
        <v>1999</v>
      </c>
      <c r="F90" t="s">
        <v>9</v>
      </c>
      <c r="G90">
        <v>40657.519999999997</v>
      </c>
      <c r="H90">
        <v>4241.05</v>
      </c>
    </row>
    <row r="91" spans="1:8" hidden="1" x14ac:dyDescent="0.25">
      <c r="A91" t="s">
        <v>19</v>
      </c>
      <c r="B91">
        <v>1999</v>
      </c>
      <c r="C91" t="s">
        <v>9</v>
      </c>
      <c r="D91">
        <v>40657.519999999997</v>
      </c>
      <c r="E91">
        <v>2000</v>
      </c>
      <c r="F91" t="s">
        <v>9</v>
      </c>
      <c r="G91">
        <v>40345.71</v>
      </c>
      <c r="H91">
        <v>-311.81</v>
      </c>
    </row>
    <row r="92" spans="1:8" hidden="1" x14ac:dyDescent="0.25">
      <c r="A92" t="s">
        <v>19</v>
      </c>
      <c r="B92">
        <v>2000</v>
      </c>
      <c r="C92" t="s">
        <v>9</v>
      </c>
      <c r="D92">
        <v>40345.71</v>
      </c>
      <c r="E92">
        <v>2001</v>
      </c>
      <c r="F92" t="s">
        <v>10</v>
      </c>
      <c r="G92">
        <v>40810.589999999997</v>
      </c>
      <c r="H92">
        <v>464.88</v>
      </c>
    </row>
    <row r="93" spans="1:8" hidden="1" x14ac:dyDescent="0.25">
      <c r="A93" t="s">
        <v>37</v>
      </c>
      <c r="B93">
        <v>2001</v>
      </c>
      <c r="C93" t="s">
        <v>9</v>
      </c>
      <c r="D93">
        <v>33775.57</v>
      </c>
      <c r="E93">
        <v>2002</v>
      </c>
      <c r="F93" t="s">
        <v>10</v>
      </c>
      <c r="G93">
        <v>39493.519999999997</v>
      </c>
      <c r="H93">
        <v>5717.95</v>
      </c>
    </row>
    <row r="94" spans="1:8" hidden="1" x14ac:dyDescent="0.25">
      <c r="A94" t="s">
        <v>38</v>
      </c>
      <c r="B94">
        <v>2002</v>
      </c>
      <c r="C94" t="s">
        <v>9</v>
      </c>
      <c r="D94">
        <v>28462.560000000001</v>
      </c>
      <c r="E94">
        <v>2003</v>
      </c>
      <c r="F94" t="s">
        <v>10</v>
      </c>
      <c r="G94">
        <v>37330.410000000003</v>
      </c>
      <c r="H94">
        <v>8867.85</v>
      </c>
    </row>
    <row r="95" spans="1:8" hidden="1" x14ac:dyDescent="0.25">
      <c r="A95" t="s">
        <v>36</v>
      </c>
      <c r="B95">
        <v>2003</v>
      </c>
      <c r="C95" t="s">
        <v>9</v>
      </c>
      <c r="D95">
        <v>16089.06</v>
      </c>
      <c r="E95">
        <v>2004</v>
      </c>
      <c r="F95" t="s">
        <v>10</v>
      </c>
      <c r="G95">
        <v>21538.81</v>
      </c>
      <c r="H95">
        <v>5449.75</v>
      </c>
    </row>
    <row r="96" spans="1:8" hidden="1" x14ac:dyDescent="0.25">
      <c r="A96" t="s">
        <v>14</v>
      </c>
      <c r="B96">
        <v>2004</v>
      </c>
      <c r="C96" t="s">
        <v>9</v>
      </c>
      <c r="D96">
        <v>35028.44</v>
      </c>
      <c r="E96">
        <v>2005</v>
      </c>
      <c r="F96" t="s">
        <v>10</v>
      </c>
      <c r="G96">
        <v>35158</v>
      </c>
      <c r="H96">
        <v>129.56</v>
      </c>
    </row>
    <row r="97" spans="1:8" hidden="1" x14ac:dyDescent="0.25">
      <c r="A97" t="s">
        <v>16</v>
      </c>
      <c r="B97">
        <v>2005</v>
      </c>
      <c r="C97" t="s">
        <v>9</v>
      </c>
      <c r="D97">
        <v>28923.88</v>
      </c>
      <c r="E97">
        <v>2006</v>
      </c>
      <c r="F97" t="s">
        <v>10</v>
      </c>
      <c r="G97">
        <v>36511.279999999999</v>
      </c>
      <c r="H97">
        <v>7587.4</v>
      </c>
    </row>
    <row r="98" spans="1:8" hidden="1" x14ac:dyDescent="0.25">
      <c r="A98" t="s">
        <v>22</v>
      </c>
      <c r="B98">
        <v>2006</v>
      </c>
      <c r="C98" t="s">
        <v>9</v>
      </c>
      <c r="D98">
        <v>42588.800000000003</v>
      </c>
      <c r="E98">
        <v>2007</v>
      </c>
      <c r="F98" t="s">
        <v>10</v>
      </c>
      <c r="G98">
        <v>43854.07</v>
      </c>
      <c r="H98">
        <v>1265.27</v>
      </c>
    </row>
    <row r="99" spans="1:8" hidden="1" x14ac:dyDescent="0.25">
      <c r="A99" t="s">
        <v>14</v>
      </c>
      <c r="B99">
        <v>2007</v>
      </c>
      <c r="C99" t="s">
        <v>9</v>
      </c>
      <c r="D99">
        <v>36675.99</v>
      </c>
      <c r="E99">
        <v>2008</v>
      </c>
      <c r="F99" t="s">
        <v>10</v>
      </c>
      <c r="G99">
        <v>37632.720000000001</v>
      </c>
      <c r="H99">
        <v>956.73</v>
      </c>
    </row>
    <row r="100" spans="1:8" hidden="1" x14ac:dyDescent="0.25">
      <c r="A100" t="s">
        <v>30</v>
      </c>
      <c r="B100">
        <v>2008</v>
      </c>
      <c r="C100" t="s">
        <v>9</v>
      </c>
      <c r="D100">
        <v>42254.11</v>
      </c>
      <c r="E100">
        <v>2009</v>
      </c>
      <c r="F100" t="s">
        <v>10</v>
      </c>
      <c r="G100">
        <v>44453</v>
      </c>
      <c r="H100">
        <v>2198.89</v>
      </c>
    </row>
    <row r="101" spans="1:8" hidden="1" x14ac:dyDescent="0.25">
      <c r="A101" t="s">
        <v>19</v>
      </c>
      <c r="B101">
        <v>2009</v>
      </c>
      <c r="C101" t="s">
        <v>9</v>
      </c>
      <c r="D101">
        <v>45918</v>
      </c>
      <c r="E101">
        <v>2010</v>
      </c>
      <c r="F101" t="s">
        <v>10</v>
      </c>
      <c r="G101">
        <v>46491.44</v>
      </c>
      <c r="H101">
        <v>573.44000000000005</v>
      </c>
    </row>
    <row r="102" spans="1:8" hidden="1" x14ac:dyDescent="0.25">
      <c r="A102" t="s">
        <v>39</v>
      </c>
      <c r="B102">
        <v>2010</v>
      </c>
      <c r="C102" t="s">
        <v>9</v>
      </c>
      <c r="D102">
        <v>37497.120000000003</v>
      </c>
      <c r="E102">
        <v>2011</v>
      </c>
      <c r="F102" t="s">
        <v>10</v>
      </c>
      <c r="G102">
        <v>41818.559999999998</v>
      </c>
      <c r="H102">
        <v>4321.4399999999996</v>
      </c>
    </row>
    <row r="103" spans="1:8" hidden="1" x14ac:dyDescent="0.25">
      <c r="A103" t="s">
        <v>22</v>
      </c>
      <c r="B103">
        <v>2011</v>
      </c>
      <c r="C103" t="s">
        <v>9</v>
      </c>
      <c r="D103">
        <v>38196.959999999999</v>
      </c>
      <c r="E103">
        <v>2012</v>
      </c>
      <c r="F103" t="s">
        <v>10</v>
      </c>
      <c r="G103">
        <v>40272.949999999997</v>
      </c>
      <c r="H103">
        <v>2075.9899999999998</v>
      </c>
    </row>
    <row r="104" spans="1:8" hidden="1" x14ac:dyDescent="0.25">
      <c r="A104" t="s">
        <v>39</v>
      </c>
      <c r="B104">
        <v>2012</v>
      </c>
      <c r="C104" t="s">
        <v>9</v>
      </c>
      <c r="D104">
        <v>41695.94</v>
      </c>
      <c r="E104">
        <v>2013</v>
      </c>
      <c r="F104" t="s">
        <v>10</v>
      </c>
      <c r="G104">
        <v>41071.56</v>
      </c>
      <c r="H104">
        <v>-624.38</v>
      </c>
    </row>
    <row r="105" spans="1:8" hidden="1" x14ac:dyDescent="0.25">
      <c r="A105" t="s">
        <v>14</v>
      </c>
      <c r="B105">
        <v>2013</v>
      </c>
      <c r="C105" t="s">
        <v>9</v>
      </c>
      <c r="D105">
        <v>34979.42</v>
      </c>
      <c r="E105">
        <v>2014</v>
      </c>
      <c r="F105" t="s">
        <v>10</v>
      </c>
      <c r="G105">
        <v>36494.93</v>
      </c>
      <c r="H105">
        <v>1515.51</v>
      </c>
    </row>
    <row r="106" spans="1:8" hidden="1" x14ac:dyDescent="0.25">
      <c r="A106" t="s">
        <v>39</v>
      </c>
      <c r="B106">
        <v>2014</v>
      </c>
      <c r="C106" t="s">
        <v>9</v>
      </c>
      <c r="D106">
        <v>41588.85</v>
      </c>
      <c r="E106">
        <v>2015</v>
      </c>
      <c r="F106" t="s">
        <v>10</v>
      </c>
      <c r="G106">
        <v>41677.56</v>
      </c>
      <c r="H106">
        <v>88.71</v>
      </c>
    </row>
    <row r="107" spans="1:8" hidden="1" x14ac:dyDescent="0.25">
      <c r="A107" t="s">
        <v>31</v>
      </c>
      <c r="B107">
        <v>2015</v>
      </c>
      <c r="C107" t="s">
        <v>9</v>
      </c>
      <c r="D107">
        <v>33438.879999999997</v>
      </c>
      <c r="E107">
        <v>2016</v>
      </c>
      <c r="F107" t="s">
        <v>10</v>
      </c>
      <c r="G107">
        <v>31576.69</v>
      </c>
      <c r="H107">
        <v>-1862.19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238C-72F5-4108-B1A0-35B80E2D4138}">
  <dimension ref="A3:B34"/>
  <sheetViews>
    <sheetView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3" spans="1:2" x14ac:dyDescent="0.25">
      <c r="A3" s="1" t="s">
        <v>40</v>
      </c>
      <c r="B3" t="s">
        <v>43</v>
      </c>
    </row>
    <row r="4" spans="1:2" x14ac:dyDescent="0.25">
      <c r="A4" s="2" t="s">
        <v>19</v>
      </c>
      <c r="B4">
        <v>27</v>
      </c>
    </row>
    <row r="5" spans="1:2" x14ac:dyDescent="0.25">
      <c r="A5" s="2" t="s">
        <v>22</v>
      </c>
      <c r="B5">
        <v>11</v>
      </c>
    </row>
    <row r="6" spans="1:2" x14ac:dyDescent="0.25">
      <c r="A6" s="2" t="s">
        <v>12</v>
      </c>
      <c r="B6">
        <v>6</v>
      </c>
    </row>
    <row r="7" spans="1:2" x14ac:dyDescent="0.25">
      <c r="A7" s="2" t="s">
        <v>14</v>
      </c>
      <c r="B7">
        <v>5</v>
      </c>
    </row>
    <row r="8" spans="1:2" x14ac:dyDescent="0.25">
      <c r="A8" s="2" t="s">
        <v>17</v>
      </c>
      <c r="B8">
        <v>5</v>
      </c>
    </row>
    <row r="9" spans="1:2" x14ac:dyDescent="0.25">
      <c r="A9" s="2" t="s">
        <v>26</v>
      </c>
      <c r="B9">
        <v>5</v>
      </c>
    </row>
    <row r="10" spans="1:2" x14ac:dyDescent="0.25">
      <c r="A10" s="2" t="s">
        <v>21</v>
      </c>
      <c r="B10">
        <v>4</v>
      </c>
    </row>
    <row r="11" spans="1:2" x14ac:dyDescent="0.25">
      <c r="A11" s="2" t="s">
        <v>13</v>
      </c>
      <c r="B11">
        <v>4</v>
      </c>
    </row>
    <row r="12" spans="1:2" x14ac:dyDescent="0.25">
      <c r="A12" s="2" t="s">
        <v>23</v>
      </c>
      <c r="B12">
        <v>4</v>
      </c>
    </row>
    <row r="13" spans="1:2" x14ac:dyDescent="0.25">
      <c r="A13" s="2" t="s">
        <v>29</v>
      </c>
      <c r="B13">
        <v>4</v>
      </c>
    </row>
    <row r="14" spans="1:2" x14ac:dyDescent="0.25">
      <c r="A14" s="2" t="s">
        <v>39</v>
      </c>
      <c r="B14">
        <v>3</v>
      </c>
    </row>
    <row r="15" spans="1:2" x14ac:dyDescent="0.25">
      <c r="A15" s="2" t="s">
        <v>27</v>
      </c>
      <c r="B15">
        <v>3</v>
      </c>
    </row>
    <row r="16" spans="1:2" x14ac:dyDescent="0.25">
      <c r="A16" s="2" t="s">
        <v>33</v>
      </c>
      <c r="B16">
        <v>2</v>
      </c>
    </row>
    <row r="17" spans="1:2" x14ac:dyDescent="0.25">
      <c r="A17" s="2" t="s">
        <v>30</v>
      </c>
      <c r="B17">
        <v>2</v>
      </c>
    </row>
    <row r="18" spans="1:2" x14ac:dyDescent="0.25">
      <c r="A18" s="2" t="s">
        <v>18</v>
      </c>
      <c r="B18">
        <v>2</v>
      </c>
    </row>
    <row r="19" spans="1:2" x14ac:dyDescent="0.25">
      <c r="A19" s="2" t="s">
        <v>31</v>
      </c>
      <c r="B19">
        <v>2</v>
      </c>
    </row>
    <row r="20" spans="1:2" x14ac:dyDescent="0.25">
      <c r="A20" s="2" t="s">
        <v>16</v>
      </c>
      <c r="B20">
        <v>2</v>
      </c>
    </row>
    <row r="21" spans="1:2" x14ac:dyDescent="0.25">
      <c r="A21" s="2" t="s">
        <v>32</v>
      </c>
      <c r="B21">
        <v>2</v>
      </c>
    </row>
    <row r="22" spans="1:2" x14ac:dyDescent="0.25">
      <c r="A22" s="2" t="s">
        <v>36</v>
      </c>
      <c r="B22">
        <v>2</v>
      </c>
    </row>
    <row r="23" spans="1:2" x14ac:dyDescent="0.25">
      <c r="A23" s="2" t="s">
        <v>28</v>
      </c>
      <c r="B23">
        <v>2</v>
      </c>
    </row>
    <row r="24" spans="1:2" x14ac:dyDescent="0.25">
      <c r="A24" s="2" t="s">
        <v>20</v>
      </c>
      <c r="B24">
        <v>1</v>
      </c>
    </row>
    <row r="25" spans="1:2" x14ac:dyDescent="0.25">
      <c r="A25" s="2" t="s">
        <v>8</v>
      </c>
      <c r="B25">
        <v>1</v>
      </c>
    </row>
    <row r="26" spans="1:2" x14ac:dyDescent="0.25">
      <c r="A26" s="2" t="s">
        <v>11</v>
      </c>
      <c r="B26">
        <v>1</v>
      </c>
    </row>
    <row r="27" spans="1:2" x14ac:dyDescent="0.25">
      <c r="A27" s="2" t="s">
        <v>25</v>
      </c>
      <c r="B27">
        <v>1</v>
      </c>
    </row>
    <row r="28" spans="1:2" x14ac:dyDescent="0.25">
      <c r="A28" s="2" t="s">
        <v>24</v>
      </c>
      <c r="B28">
        <v>1</v>
      </c>
    </row>
    <row r="29" spans="1:2" x14ac:dyDescent="0.25">
      <c r="A29" s="2" t="s">
        <v>15</v>
      </c>
      <c r="B29">
        <v>1</v>
      </c>
    </row>
    <row r="30" spans="1:2" x14ac:dyDescent="0.25">
      <c r="A30" s="2" t="s">
        <v>38</v>
      </c>
      <c r="B30">
        <v>1</v>
      </c>
    </row>
    <row r="31" spans="1:2" x14ac:dyDescent="0.25">
      <c r="A31" s="2" t="s">
        <v>37</v>
      </c>
      <c r="B31">
        <v>1</v>
      </c>
    </row>
    <row r="32" spans="1:2" x14ac:dyDescent="0.25">
      <c r="A32" s="2" t="s">
        <v>35</v>
      </c>
      <c r="B32">
        <v>1</v>
      </c>
    </row>
    <row r="33" spans="1:2" x14ac:dyDescent="0.25">
      <c r="A33" s="2" t="s">
        <v>41</v>
      </c>
    </row>
    <row r="34" spans="1:2" x14ac:dyDescent="0.25">
      <c r="A34" s="2" t="s">
        <v>42</v>
      </c>
      <c r="B34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72B9D-73A1-40F8-981F-00A19F65E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attendance_after_ws_win</vt:lpstr>
      <vt:lpstr>NYA</vt:lpstr>
      <vt:lpstr>SLN</vt:lpstr>
      <vt:lpstr>NY1</vt:lpstr>
      <vt:lpstr>num_ws_wins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 Hosfeld</dc:creator>
  <cp:lastModifiedBy>Hosfeld, Sydney</cp:lastModifiedBy>
  <dcterms:created xsi:type="dcterms:W3CDTF">2026-02-16T19:22:33Z</dcterms:created>
  <dcterms:modified xsi:type="dcterms:W3CDTF">2026-02-17T16:55:56Z</dcterms:modified>
</cp:coreProperties>
</file>